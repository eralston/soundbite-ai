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https://sounbite-my.sharepoint.com/personal/erik_soundbite_ai/Documents/Product/"/>
    </mc:Choice>
  </mc:AlternateContent>
  <xr:revisionPtr revIDLastSave="354" documentId="8_{C3E85203-E790-4D5E-A4C5-D13007BFCE11}" xr6:coauthVersionLast="47" xr6:coauthVersionMax="47" xr10:uidLastSave="{21485CB8-E953-488F-893D-D0600DD37E0B}"/>
  <bookViews>
    <workbookView xWindow="0" yWindow="-21720" windowWidth="38640" windowHeight="21120" xr2:uid="{00000000-000D-0000-FFFF-FFFF00000000}"/>
  </bookViews>
  <sheets>
    <sheet name="Azure Cost Calculator (2021)" sheetId="1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3" i="14" l="1"/>
  <c r="B165" i="14"/>
  <c r="B173" i="14"/>
  <c r="B176" i="14" s="1"/>
  <c r="B157" i="14"/>
  <c r="B43" i="14"/>
  <c r="B56" i="14" s="1"/>
  <c r="B74" i="14"/>
  <c r="B90" i="14" s="1"/>
  <c r="C83" i="14"/>
  <c r="B40" i="14"/>
  <c r="B88" i="14" s="1"/>
  <c r="C88" i="14" s="1"/>
  <c r="B39" i="14"/>
  <c r="C87" i="14"/>
  <c r="B33" i="14"/>
  <c r="B34" i="14" s="1"/>
  <c r="B38" i="14"/>
  <c r="B174" i="14" l="1"/>
  <c r="B177" i="14" s="1"/>
  <c r="B179" i="14" s="1"/>
  <c r="C90" i="14"/>
  <c r="B35" i="14"/>
  <c r="B59" i="14"/>
  <c r="B44" i="14"/>
  <c r="B89" i="14"/>
  <c r="C89" i="14" s="1"/>
  <c r="B96" i="14"/>
  <c r="B45" i="14" l="1"/>
  <c r="B49" i="14" s="1"/>
  <c r="B135" i="14" s="1"/>
  <c r="B47" i="14" l="1"/>
  <c r="B51" i="14" s="1"/>
  <c r="B60" i="14"/>
  <c r="B46" i="14"/>
  <c r="B95" i="14" s="1"/>
  <c r="C95" i="14" s="1"/>
  <c r="B91" i="14"/>
  <c r="C91" i="14" s="1"/>
  <c r="B58" i="14"/>
  <c r="B136" i="14"/>
  <c r="B93" i="14"/>
  <c r="C93" i="14" s="1"/>
  <c r="B113" i="14"/>
  <c r="C113" i="14" s="1"/>
  <c r="B114" i="14"/>
  <c r="B50" i="14"/>
  <c r="B155" i="14" s="1"/>
  <c r="B159" i="14" s="1"/>
  <c r="B115" i="14"/>
  <c r="B116" i="14"/>
  <c r="C116" i="14" s="1"/>
  <c r="B112" i="14"/>
  <c r="C112" i="14" s="1"/>
  <c r="B139" i="14"/>
  <c r="C139" i="14" s="1"/>
  <c r="D139" i="14" s="1"/>
  <c r="B137" i="14"/>
  <c r="C137" i="14" s="1"/>
  <c r="D137" i="14" s="1"/>
  <c r="B138" i="14"/>
  <c r="C138" i="14" s="1"/>
  <c r="D138" i="14" s="1"/>
  <c r="B140" i="14"/>
  <c r="B55" i="14"/>
  <c r="B48" i="14" l="1"/>
  <c r="B107" i="14"/>
  <c r="C107" i="14" s="1"/>
  <c r="B101" i="14"/>
  <c r="C101" i="14" s="1"/>
  <c r="B52" i="14"/>
  <c r="B99" i="14" s="1"/>
  <c r="C99" i="14" s="1"/>
  <c r="B106" i="14"/>
  <c r="C106" i="14" s="1"/>
  <c r="B100" i="14"/>
  <c r="C100" i="14" s="1"/>
  <c r="B57" i="14"/>
  <c r="B94" i="14" s="1"/>
  <c r="C94" i="14" s="1"/>
  <c r="B54" i="14"/>
  <c r="C136" i="14"/>
  <c r="D136" i="14" s="1"/>
  <c r="C114" i="14"/>
  <c r="C115" i="14"/>
  <c r="B102" i="14" l="1"/>
  <c r="B103" i="14" s="1"/>
  <c r="C103" i="14" s="1"/>
  <c r="B92" i="14"/>
  <c r="C92" i="14" s="1"/>
  <c r="D97" i="14" s="1"/>
  <c r="B53" i="14"/>
  <c r="B108" i="14" s="1"/>
  <c r="C108" i="14" s="1"/>
  <c r="B154" i="14"/>
  <c r="B158" i="14" s="1"/>
  <c r="B161" i="14" s="1"/>
  <c r="D117" i="14"/>
  <c r="B104" i="14"/>
  <c r="C104" i="14" s="1"/>
  <c r="B105" i="14"/>
  <c r="C102" i="14" l="1"/>
  <c r="C105" i="14"/>
  <c r="D109" i="14" l="1"/>
  <c r="C120" i="14"/>
  <c r="C123" i="14" l="1"/>
  <c r="C124" i="14" s="1"/>
  <c r="B162" i="14" l="1"/>
  <c r="B164" i="14" s="1"/>
  <c r="B180" i="14"/>
  <c r="B182" i="14" s="1"/>
  <c r="C130" i="14"/>
  <c r="C127" i="14"/>
  <c r="C131" i="14"/>
</calcChain>
</file>

<file path=xl/sharedStrings.xml><?xml version="1.0" encoding="utf-8"?>
<sst xmlns="http://schemas.openxmlformats.org/spreadsheetml/2006/main" count="274" uniqueCount="252">
  <si>
    <t>Soundbite Azure Costs - Year One</t>
  </si>
  <si>
    <t>An estimate of operational costs for Soundbite, built up from a set of performance assumptions, deployment size inputs, and known Azure pricing. These total into estimated utilization per region, then scale out to a total estimated global cost</t>
  </si>
  <si>
    <t>Input Field</t>
  </si>
  <si>
    <r>
      <t xml:space="preserve">Calculated Fields Have No color on them; </t>
    </r>
    <r>
      <rPr>
        <b/>
        <sz val="11"/>
        <color theme="1"/>
        <rFont val="Calibri"/>
        <family val="2"/>
        <scheme val="minor"/>
      </rPr>
      <t>Key Fields Have Bold</t>
    </r>
  </si>
  <si>
    <t>Total User = Employee in the Org; Active User = User in the Org who touches the Platform on a daily basis</t>
  </si>
  <si>
    <t>Key Inputs</t>
  </si>
  <si>
    <t>Value</t>
  </si>
  <si>
    <t>Comments</t>
  </si>
  <si>
    <t>Organization</t>
  </si>
  <si>
    <t>Total Number of Organizations</t>
  </si>
  <si>
    <t>Average Users Per Organization</t>
  </si>
  <si>
    <t>Adoption Coefficient (% Active Users from Total)</t>
  </si>
  <si>
    <t>Transcription Coefficient (% or Recordings Transcribed)</t>
  </si>
  <si>
    <t>User Behavior</t>
  </si>
  <si>
    <t>Average Recordings Per Active User, Per Day</t>
  </si>
  <si>
    <t>If we had meetings, this could be 3+, If we're in only broadcast mode for corp comms, this is actually a fractional number (like 0.01 for every employee recording something maybe once a quarter-ish)</t>
  </si>
  <si>
    <t>Average Listens Per Active User, Per Day</t>
  </si>
  <si>
    <t>If we had meetings, this could be 6+, if we're in only broadcast mode, it could again be a fraction (EG, 0.2 for one listen a week on avg)</t>
  </si>
  <si>
    <t>Average Minutes Per Recording</t>
  </si>
  <si>
    <t>Somewhere between the minimum time to get their point across and the average time limit one would place on their recordings</t>
  </si>
  <si>
    <t>Active Days Per Month</t>
  </si>
  <si>
    <t>Other</t>
  </si>
  <si>
    <t>Uncertainty</t>
  </si>
  <si>
    <t>Overall uncertainty about the calculation, multiplying the final result by that value (1 = assumption estimate are completely accurates; 3x likely minimum given 90 day retention; 10x being very high uncertainty)</t>
  </si>
  <si>
    <t>Technical Assumptions</t>
  </si>
  <si>
    <t>Regions</t>
  </si>
  <si>
    <t>Average Storage Per Minutes of Recording</t>
  </si>
  <si>
    <t>Average Database Per Organization (MB)</t>
  </si>
  <si>
    <t>Likely to grow month-over-month, but likely not at an entirely linear pace like Az Storage; 90 Day retention means there is a ceiling</t>
  </si>
  <si>
    <t>Active Users Per Horizontal Scale of App Plan</t>
  </si>
  <si>
    <t>Key Hit Coefficient</t>
  </si>
  <si>
    <t>Caching keys requires hitting the vault about this often; keep in mind the vault potentially containts multiple keys for multiple services</t>
  </si>
  <si>
    <t>Average MB Download Per Visit</t>
  </si>
  <si>
    <t>Based on test.soundbite.ai Chrome tab (and thanks to caching), there is 810kb non-cached data transferred on each load; adding padding for further requests</t>
  </si>
  <si>
    <t>Average MB Logs Per Visit</t>
  </si>
  <si>
    <t>MB of Logs Per Visit fed to App Insights</t>
  </si>
  <si>
    <t>Transcript Size Per Minute (MB)</t>
  </si>
  <si>
    <t>All Regions</t>
  </si>
  <si>
    <t>Total Users</t>
  </si>
  <si>
    <t>(Number of Orgs) times (Numbers of Users)</t>
  </si>
  <si>
    <t>Active Users</t>
  </si>
  <si>
    <t>(Total Users) divided by (Adoption Coefficient)</t>
  </si>
  <si>
    <t>Active User Visits</t>
  </si>
  <si>
    <t>(Total Active Users) times (Active Users Visits Per Day)</t>
  </si>
  <si>
    <t>Derived Utilization Factors</t>
  </si>
  <si>
    <t>Average Storage Per Recording (MB)</t>
  </si>
  <si>
    <t>(Average Minutes Per Recording) times (Average Storage Per Minute)</t>
  </si>
  <si>
    <t>Average Storage Per Transcript (MB)</t>
  </si>
  <si>
    <t>(Average Minutes Per Recording) times (Average MB per transcript Minute)</t>
  </si>
  <si>
    <t>Hours Per Month</t>
  </si>
  <si>
    <t>(Days in the Month) times (24 hours)</t>
  </si>
  <si>
    <t>Region (Per Month)</t>
  </si>
  <si>
    <t>Number of Organizations</t>
  </si>
  <si>
    <t>Based on (Total Number of Orgs) divided by (Number of Regions)</t>
  </si>
  <si>
    <t>Total users in a region with access; not guaranteed to be using the product</t>
  </si>
  <si>
    <t>(Total users) times (Adoption coefficient)</t>
  </si>
  <si>
    <t>Per Month total DAU visits - (DAU in Region) times (Daily Visits Per DAU) times (Days in a month)</t>
  </si>
  <si>
    <t>Recordings (Count)</t>
  </si>
  <si>
    <t>Recordings in a month from the (DAUs) times (Recordings Per Day) times (Number of Days in a Month)</t>
  </si>
  <si>
    <t>Listens (Count)</t>
  </si>
  <si>
    <t>Listens in a month from (DAUs) times (Listens Per Day) times (# of Days in a Month)</t>
  </si>
  <si>
    <t>Listening Minutes</t>
  </si>
  <si>
    <t>(Number of Listens) times (Avg Length) divided by (minutes in an hour)</t>
  </si>
  <si>
    <t>Speaking Minutes</t>
  </si>
  <si>
    <t>Recordings per month in hours</t>
  </si>
  <si>
    <t>Recording size times total user population and frequency; this is from new recordings every month!</t>
  </si>
  <si>
    <t>Transcription (Hours)</t>
  </si>
  <si>
    <r>
      <t xml:space="preserve">(Total hours of recorings) times (Transcription Coefficient). </t>
    </r>
    <r>
      <rPr>
        <b/>
        <sz val="11"/>
        <color theme="1" tint="0.499984740745262"/>
        <rFont val="Calibri"/>
        <family val="2"/>
        <scheme val="minor"/>
      </rPr>
      <t>EXPENSIVE FAST</t>
    </r>
  </si>
  <si>
    <t>Transcript Size (GB)</t>
  </si>
  <si>
    <t>Transcript Egress (GB)</t>
  </si>
  <si>
    <t>(Transcript Size in GB) times (Number of listens); assumes transcript is displays with 100% of listens - this could be more on-demand for the user</t>
  </si>
  <si>
    <t>Database Storage (GB)</t>
  </si>
  <si>
    <t>Key Vault Transaction</t>
  </si>
  <si>
    <t>How many times does a visit provoke a key hit (Visits * Hit Coefficient)</t>
  </si>
  <si>
    <t>App Service Plan (Avg Concurrent Instances)</t>
  </si>
  <si>
    <t>Elastic SQL Database (Number of Databases)</t>
  </si>
  <si>
    <t>Validation for number of databases per month in each region</t>
  </si>
  <si>
    <t>Resource Unit Costs</t>
  </si>
  <si>
    <t>Pricing</t>
  </si>
  <si>
    <t>https://azure.microsoft.com/en-us/pricing/details/app-service/windows/</t>
  </si>
  <si>
    <t>https://azure.microsoft.com/en-us/pricing/details/sql-database/elastic/</t>
  </si>
  <si>
    <t>Elastic SQL Database Max Databases Per Pool</t>
  </si>
  <si>
    <t>Storage (Hot, GRS, Space per GB)</t>
  </si>
  <si>
    <t>https://azure.microsoft.com/en-us/pricing/details/storage/blobs/</t>
  </si>
  <si>
    <t>Storage (Hot, GRS Transfer Per GB)</t>
  </si>
  <si>
    <t>Per GB, Only for geo-replicated accounts (which should be the norm, but GDPR paranoiacs will not have it turned on)</t>
  </si>
  <si>
    <t>Storage (Hot, Per 10k Read Operations)</t>
  </si>
  <si>
    <t>Read operations per blob; assumed to be when the user listens</t>
  </si>
  <si>
    <t>Storage (Hot, Per 10k Write Operations)</t>
  </si>
  <si>
    <t>Write operations per blob; assmed to be when the user records</t>
  </si>
  <si>
    <t>Storage (Hot, Per 10k Other Operations)</t>
  </si>
  <si>
    <t>The SAS token generation for secure connection to storage is likely one of these "other" operations</t>
  </si>
  <si>
    <t>Azure Active Directory</t>
  </si>
  <si>
    <t>https://azure.microsoft.com/en-us/pricing/details/active-directory/</t>
  </si>
  <si>
    <t>https://azure.microsoft.com/en-us/pricing/details/cache/</t>
  </si>
  <si>
    <t>Per 10,000 transactions</t>
  </si>
  <si>
    <t>https://azure.microsoft.com/en-us/pricing/details/key-vault/</t>
  </si>
  <si>
    <t>Front Door (Ingress Per GB)</t>
  </si>
  <si>
    <t>Per GB Uploads</t>
  </si>
  <si>
    <t>Front Door (Egress Per GB)</t>
  </si>
  <si>
    <t>Per GB Downloads</t>
  </si>
  <si>
    <t>Azure Monitor (App Insights Ingestion, Per GB)</t>
  </si>
  <si>
    <t>Per GB of logs ingested</t>
  </si>
  <si>
    <t>https://azure.microsoft.com/en-us/pricing/details/monitor/</t>
  </si>
  <si>
    <t>E-Mails (SendGrid, Per 1m)</t>
  </si>
  <si>
    <t>SendGrid uses pricing Tiers, so this is assuming no volume licensing advantages available after 1.5m</t>
  </si>
  <si>
    <t>https://sendgrid.com/pricing/</t>
  </si>
  <si>
    <t>E-Mails (Customer O365 Integration)</t>
  </si>
  <si>
    <t>Calling to the Send Mail API: https://docs.microsoft.com/en-us/graph/api/user-sendmail?view=graph-rest-1.0&amp;tabs=http</t>
  </si>
  <si>
    <t>SMS (Twilio, Per Message)</t>
  </si>
  <si>
    <t>Sent to listeners when recording is available</t>
  </si>
  <si>
    <t>User Notifications (Customer O365 Integration)</t>
  </si>
  <si>
    <t>Speech-to-text</t>
  </si>
  <si>
    <t>Per audio hour</t>
  </si>
  <si>
    <t>Cost Per Region</t>
  </si>
  <si>
    <t>Units Per Month</t>
  </si>
  <si>
    <t>Monthly Cost</t>
  </si>
  <si>
    <t>Annual Cost</t>
  </si>
  <si>
    <t>Base Platform</t>
  </si>
  <si>
    <t>Components that allow users to go to an application and load it on a device</t>
  </si>
  <si>
    <t>App Service Plan (Hours)</t>
  </si>
  <si>
    <t>Horizontal Servers; Front Door can rotate amongst more than one app service plan</t>
  </si>
  <si>
    <t>AD supporting the users; Assume also that this is an AD B2B instance that is paid for by the customer</t>
  </si>
  <si>
    <t>Elastic SQL Database (Number of Pools)</t>
  </si>
  <si>
    <t>One elastic DB instance per organization in the region</t>
  </si>
  <si>
    <t>No Cost for Storage, this is just validation that the total storage doesn't exceed the pool limits</t>
  </si>
  <si>
    <t>Assuming single instance per region scaled to handle shared cache for a single app service plan</t>
  </si>
  <si>
    <t>Key Vault (10k Requests)</t>
  </si>
  <si>
    <t>Units of 10,000 key transactions</t>
  </si>
  <si>
    <t>Azure Monitor (Ingestion)</t>
  </si>
  <si>
    <t>GBs of Logs Ingested by Azure App Insights; Attempting to project an insane amount of logging</t>
  </si>
  <si>
    <t>Components that allow uploading and downloading of large files, facilitating the audio recording and listening experience</t>
  </si>
  <si>
    <t>GB of Recordings that are uploaded to the web service (they pass through the .Net app before being loaded into Storage)</t>
  </si>
  <si>
    <t>Storage (Recording Space, GB)</t>
  </si>
  <si>
    <t>Gigabytes each month - remember this compounds every month (not captured in the calc), but should be subject to limited retention strategies (EG, 90 days total then gone forever)</t>
  </si>
  <si>
    <t>Storage (Recording Transfer, GB)</t>
  </si>
  <si>
    <t>Gigabytes each month for distributing with geo-redundance</t>
  </si>
  <si>
    <t>Total listens scaled by operations per 10k</t>
  </si>
  <si>
    <t>Storage (Recording Write, 10k Ops)</t>
  </si>
  <si>
    <t>Total recordings scaled by operations per 10k</t>
  </si>
  <si>
    <t>Speech-to-text (Standard, Hours)</t>
  </si>
  <si>
    <r>
      <t xml:space="preserve">Total hours of recordings converted from recording to transcript; </t>
    </r>
    <r>
      <rPr>
        <b/>
        <sz val="11"/>
        <color theme="1" tint="0.499984740745262"/>
        <rFont val="Calibri"/>
        <family val="2"/>
        <scheme val="minor"/>
      </rPr>
      <t>VERY EXPENSIVE? Consider adjusting # of recordings, length of recordings, and transcription coefficient</t>
    </r>
  </si>
  <si>
    <t>Storage (Transcript Space, GB)</t>
  </si>
  <si>
    <t>Holding the transcribed text on hard drives</t>
  </si>
  <si>
    <t>Storage (Transcript Transfer, GB)</t>
  </si>
  <si>
    <t>Transferring transcripts to geo-redundant locations</t>
  </si>
  <si>
    <t>Storage (Transcript Read, GB)</t>
  </si>
  <si>
    <t>Sending the transcripts to users when they listen to a recording</t>
  </si>
  <si>
    <t>Storage (Transcript Write, GB)</t>
  </si>
  <si>
    <t>Writing the transcript into storage after it is processed</t>
  </si>
  <si>
    <r>
      <t>Notifications (</t>
    </r>
    <r>
      <rPr>
        <b/>
        <sz val="11"/>
        <color theme="1" tint="0.499984740745262"/>
        <rFont val="Calibri"/>
        <family val="2"/>
        <scheme val="minor"/>
      </rPr>
      <t>NOT PART OF THE TOTAL</t>
    </r>
    <r>
      <rPr>
        <sz val="11"/>
        <color theme="1" tint="0.499984740745262"/>
        <rFont val="Calibri"/>
        <family val="2"/>
        <scheme val="minor"/>
      </rPr>
      <t xml:space="preserve"> - Pick One or More)</t>
    </r>
  </si>
  <si>
    <t>Estimating that every listen also required a notifications to get there; Assume that this is useful in the Meetings/Surveys scenarios, but Broadcast (Corporate Comms) would likely use their own emails</t>
  </si>
  <si>
    <t>SendGrid Emails (1m Messages)</t>
  </si>
  <si>
    <t>O365 Customer Email</t>
  </si>
  <si>
    <t>Assuming MS Graph integration to send e-mails via the customer's O365 tenant</t>
  </si>
  <si>
    <t>SMS Messages (Total)</t>
  </si>
  <si>
    <t>O365 Customer Notifications</t>
  </si>
  <si>
    <t>MS Graph integration to send device notifications (Desktop and Mobile)</t>
  </si>
  <si>
    <t>Partner Notifications</t>
  </si>
  <si>
    <t>As Partner</t>
  </si>
  <si>
    <t>Totals</t>
  </si>
  <si>
    <t>Monthly</t>
  </si>
  <si>
    <t>Per Region</t>
  </si>
  <si>
    <t>Per User Costs</t>
  </si>
  <si>
    <t>Per Total User</t>
  </si>
  <si>
    <t>Per Active User</t>
  </si>
  <si>
    <t>SQL Database Storage (GB)</t>
  </si>
  <si>
    <t>Add-Ons</t>
  </si>
  <si>
    <t>Storage (Listening Read, 10k Ops)</t>
  </si>
  <si>
    <t>Storage (Listening SAS Tokens, 10k Ops)</t>
  </si>
  <si>
    <t>Listening</t>
  </si>
  <si>
    <t>Speaking</t>
  </si>
  <si>
    <t>GB of loading the app for recording</t>
  </si>
  <si>
    <t>Front Door (App Egress for Passive Traffic, GB)</t>
  </si>
  <si>
    <t>GB of loading the app for non recording or listening (EG, admins or just browsing)</t>
  </si>
  <si>
    <t>Front Door (App Egress for Recording visits, GB)</t>
  </si>
  <si>
    <t>Front Door (App Ingress for Recording uploads, GB)</t>
  </si>
  <si>
    <t>Audio File Size (GB)</t>
  </si>
  <si>
    <t>Assuming 256 Kbps is 1.92MB, which is higher than expected real-world of 192</t>
  </si>
  <si>
    <t>Varies by vCode Tier, Assuming Gen 5 2 vCore, which is the lowest limit and most expensive per hour</t>
  </si>
  <si>
    <t>Elastic SQL Database (Per Hour)</t>
  </si>
  <si>
    <t>Additional Visits Per Active User, Per Day</t>
  </si>
  <si>
    <t>Total Visits</t>
  </si>
  <si>
    <t>Front Door (App Egress for Listen Visits, GB)</t>
  </si>
  <si>
    <t>Speaking Minute Cost</t>
  </si>
  <si>
    <t>Listening Minute Cost</t>
  </si>
  <si>
    <t>Output Fields w/ Uncertainty</t>
  </si>
  <si>
    <t>Estimated Cost w/o Uncertainty</t>
  </si>
  <si>
    <t>This is total users per org, we then scale it by the "Adoption Coefficient" to determine active users per org</t>
  </si>
  <si>
    <t>1 = 100%</t>
  </si>
  <si>
    <t>1 = 100%; Close to 100% for corporate comms, much lower for meetings, surveys, and other more casual scenarios</t>
  </si>
  <si>
    <t>Base Cost Per Org</t>
  </si>
  <si>
    <t>Redis Cache (Hours - Fixed Per Region)</t>
  </si>
  <si>
    <t>VERY EXPENSIVE? Assume you'll do the right thing and integrate with the customer's O365</t>
  </si>
  <si>
    <t>100 for ideal estimate; 1 for worst overhead per region; Keep in mind that total users on the platform is (Number of Orgs) times (Number of Regions); 1,100 is total customer base for LT</t>
  </si>
  <si>
    <t>Excludes speech-to-text from uncertainty</t>
  </si>
  <si>
    <t>Visits where the user does NOT record or listen; EG, reporting, admin, or "just checking"</t>
  </si>
  <si>
    <t>Some activities (EG, running the app service plan) really would be 24/7 (30 days), but some (EG, recording and listening) would be more "workdays only" (20 days for pure corporate; 30 days for shift work)</t>
  </si>
  <si>
    <t>How many active users can one instance of the App Service handle?</t>
  </si>
  <si>
    <t>High average for talking speed is 150WPM; lorem ipsum size for 150 words is just shy of 1KB in smallest encoding, so assume something 20x worse</t>
  </si>
  <si>
    <t>1 for an ideal estimate; 60 max for worst estimate (every Azure region); Each Azure region with a deployment; Customers may want their own isolated instances (for extra cost), in which case that also counts as a "Region" though it will not be average scale</t>
  </si>
  <si>
    <t>(Hours of Recording) times (File size per minute in GB); Dilluted by coefficient of transcription</t>
  </si>
  <si>
    <t>Database volume of storage; not expected to grow aggressively per month like Storage</t>
  </si>
  <si>
    <t>Validation for the horizontal scale of the system; Can change across multiple app service resources w/ Front Door</t>
  </si>
  <si>
    <t>App Service Plan (Standard, Per Hour, Per Instance)</t>
  </si>
  <si>
    <t>Standard is the minimum pricing floor, but likely the least efficient when it comes to price-per-performance</t>
  </si>
  <si>
    <t>Compute only; Cost Per Hour is for vCore 2 (First Tier) which is most expensive price-per-performance</t>
  </si>
  <si>
    <t>Per GB; Best performance and highest cost; 30+ day old data should probably slide into cold storage then drop at 90 days unless we charge a "retention fee"</t>
  </si>
  <si>
    <t>Assuming free tier only in the first year (which would be zero dollars) and that the integration to the org AD means they're paying for it (which is their bill, not ours)</t>
  </si>
  <si>
    <t>Cache Competition Per Active User (MB)</t>
  </si>
  <si>
    <t>Total Cache Competition (GB)</t>
  </si>
  <si>
    <t>Total number of GB for caching throughout the number of active users expected throughout a day; total GB of Redis Cache in a region total GB should be considered with this number, realizing this is over 24 hours of idealized traffic</t>
  </si>
  <si>
    <t>Amount of MB each active user might want to storage at a given time; According to the Redis FAQ 1m keys in Redis = 160mb; Let's assume each user needs 100 keys</t>
  </si>
  <si>
    <t>Redis Cache (Standard C3, 6GB, Per Hour)</t>
  </si>
  <si>
    <t xml:space="preserve">Per Hour, always one instance per region; Standard C1 and above has 1k+ connections which is enough for </t>
  </si>
  <si>
    <t>Key Vault (Per 10k transactions)</t>
  </si>
  <si>
    <t>Calling the Beta Microsoft Graph notification API using Customer's O365 tenant</t>
  </si>
  <si>
    <t>As of May 2021, we have 4 rules</t>
  </si>
  <si>
    <t>Connects domains to back-end services (web apps, storage, etc)</t>
  </si>
  <si>
    <t>Per Org Costs</t>
  </si>
  <si>
    <t>Per Total Organization</t>
  </si>
  <si>
    <t>Front Door (Per Request, per 10k)</t>
  </si>
  <si>
    <t>Front Door (Base)</t>
  </si>
  <si>
    <t>Front Door (Listening Requests, 10k)</t>
  </si>
  <si>
    <t>Front Door (Requests, per 10k)</t>
  </si>
  <si>
    <t>Number of Notifications</t>
  </si>
  <si>
    <t>Notifications</t>
  </si>
  <si>
    <t>Number of times a user has a Soundbite become available to them for listening</t>
  </si>
  <si>
    <t>Assuming a consumption based 1:1 for projected recording/listening</t>
  </si>
  <si>
    <t>This should likely inform a stair-stepped consumption by sizable blocks system (EG, SendGrid's pro-rated per month by quota consumed system)</t>
  </si>
  <si>
    <t>Price Per Minute Listened</t>
  </si>
  <si>
    <t>Price Per Minute Recorded</t>
  </si>
  <si>
    <t>Minutes Recorded (Per Month, All Regions)</t>
  </si>
  <si>
    <t>Minutes Listened (Per Month, All Regions)</t>
  </si>
  <si>
    <t>Gross Revenue Recorded</t>
  </si>
  <si>
    <t>Gross Revenue Listened</t>
  </si>
  <si>
    <t>Total Gross Revenue</t>
  </si>
  <si>
    <t>Base Per Organization</t>
  </si>
  <si>
    <t>Gross Base Fees</t>
  </si>
  <si>
    <t>Due to the uncertainty inflating costs without changing revenue, this should underestimate potential revenue after hosting costs</t>
  </si>
  <si>
    <t>This does NOT include any notification budget</t>
  </si>
  <si>
    <t>Estimated Total Hosting Costs (From Above)</t>
  </si>
  <si>
    <t>Per User Model</t>
  </si>
  <si>
    <t>Base fee per org + number of active users</t>
  </si>
  <si>
    <t>Cost Per Active User</t>
  </si>
  <si>
    <t>Total Number of Active Users</t>
  </si>
  <si>
    <t>Gross Active User Fees</t>
  </si>
  <si>
    <t>Projected "Active User" Revenue After Hosting Costs</t>
  </si>
  <si>
    <t>Projected "Consumption" Revenue After Hosting Costs</t>
  </si>
  <si>
    <t>Per Minute Consumption Model</t>
  </si>
  <si>
    <t>Potential Chargeback Models</t>
  </si>
  <si>
    <t>Projected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</si>
</sst>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0.00000"/>
    <numFmt numFmtId="166" formatCode="#,##0.000"/>
    <numFmt numFmtId="167" formatCode="&quot;$&quot;#,##0.00000"/>
  </numFmts>
  <fonts count="10" x14ac:knownFonts="1">
    <font>
      <sz val="11"/>
      <color theme="1"/>
      <name val="Calibri"/>
      <family val="2"/>
      <scheme val="minor"/>
    </font>
    <font>
      <b/>
      <sz val="11"/>
      <color theme="1"/>
      <name val="Calibri"/>
      <family val="2"/>
      <scheme val="minor"/>
    </font>
    <font>
      <u/>
      <sz val="11"/>
      <color theme="10"/>
      <name val="Calibri"/>
      <family val="2"/>
      <scheme val="minor"/>
    </font>
    <font>
      <sz val="11"/>
      <color theme="1" tint="0.499984740745262"/>
      <name val="Calibri"/>
      <family val="2"/>
      <scheme val="minor"/>
    </font>
    <font>
      <b/>
      <sz val="11"/>
      <color theme="1" tint="0.499984740745262"/>
      <name val="Calibri"/>
      <family val="2"/>
      <scheme val="minor"/>
    </font>
    <font>
      <b/>
      <sz val="11"/>
      <name val="Calibri"/>
      <family val="2"/>
      <scheme val="minor"/>
    </font>
    <font>
      <sz val="11"/>
      <color theme="0"/>
      <name val="Calibri"/>
      <family val="2"/>
      <scheme val="minor"/>
    </font>
    <font>
      <sz val="11"/>
      <color theme="9" tint="-0.499984740745262"/>
      <name val="Calibri"/>
      <family val="2"/>
      <scheme val="minor"/>
    </font>
    <font>
      <sz val="11"/>
      <name val="Calibri"/>
      <family val="2"/>
      <scheme val="minor"/>
    </font>
    <font>
      <sz val="11"/>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0.14999847407452621"/>
        <bgColor indexed="64"/>
      </patternFill>
    </fill>
  </fills>
  <borders count="1">
    <border>
      <left/>
      <right/>
      <top/>
      <bottom/>
      <diagonal/>
    </border>
  </borders>
  <cellStyleXfs count="4">
    <xf numFmtId="0" fontId="0" fillId="0" borderId="0"/>
    <xf numFmtId="0" fontId="2" fillId="0" borderId="0" applyNumberFormat="0" applyFill="0" applyBorder="0" applyAlignment="0" applyProtection="0"/>
    <xf numFmtId="44" fontId="9" fillId="0" borderId="0" applyFont="0" applyFill="0" applyBorder="0" applyAlignment="0" applyProtection="0"/>
    <xf numFmtId="9" fontId="9" fillId="0" borderId="0" applyFont="0" applyFill="0" applyBorder="0" applyAlignment="0" applyProtection="0"/>
  </cellStyleXfs>
  <cellXfs count="71">
    <xf numFmtId="0" fontId="0" fillId="0" borderId="0" xfId="0"/>
    <xf numFmtId="0" fontId="0" fillId="2" borderId="0" xfId="0" applyFill="1"/>
    <xf numFmtId="0" fontId="1" fillId="2" borderId="0" xfId="0" applyNumberFormat="1" applyFont="1" applyFill="1"/>
    <xf numFmtId="0" fontId="0" fillId="0" borderId="0" xfId="0" applyNumberFormat="1"/>
    <xf numFmtId="0" fontId="3" fillId="0" borderId="0" xfId="0" applyFont="1"/>
    <xf numFmtId="0" fontId="0" fillId="0" borderId="0" xfId="0"/>
    <xf numFmtId="0" fontId="1" fillId="2" borderId="0" xfId="0" applyFont="1" applyFill="1"/>
    <xf numFmtId="4" fontId="0" fillId="0" borderId="0" xfId="0" applyNumberFormat="1"/>
    <xf numFmtId="164" fontId="0" fillId="0" borderId="0" xfId="0" applyNumberFormat="1"/>
    <xf numFmtId="0" fontId="0" fillId="3" borderId="0" xfId="0" applyFill="1"/>
    <xf numFmtId="0" fontId="0" fillId="4" borderId="0" xfId="0" applyFill="1"/>
    <xf numFmtId="166" fontId="1" fillId="0" borderId="0" xfId="0" applyNumberFormat="1" applyFont="1"/>
    <xf numFmtId="164" fontId="1" fillId="4" borderId="0" xfId="0" applyNumberFormat="1" applyFont="1" applyFill="1"/>
    <xf numFmtId="4" fontId="1" fillId="0" borderId="0" xfId="0" applyNumberFormat="1" applyFont="1"/>
    <xf numFmtId="4" fontId="0" fillId="0" borderId="0" xfId="0" applyNumberFormat="1" applyFont="1"/>
    <xf numFmtId="0" fontId="0" fillId="0" borderId="0" xfId="0"/>
    <xf numFmtId="0" fontId="0" fillId="0" borderId="0" xfId="0"/>
    <xf numFmtId="0" fontId="2" fillId="0" borderId="0" xfId="1"/>
    <xf numFmtId="0" fontId="0" fillId="0" borderId="0" xfId="0"/>
    <xf numFmtId="0" fontId="3" fillId="5" borderId="0" xfId="0" applyFont="1" applyFill="1"/>
    <xf numFmtId="0" fontId="0" fillId="5" borderId="0" xfId="0" applyNumberFormat="1" applyFont="1" applyFill="1"/>
    <xf numFmtId="0" fontId="0" fillId="5" borderId="0" xfId="0" applyFont="1" applyFill="1" applyAlignment="1">
      <alignment horizontal="right"/>
    </xf>
    <xf numFmtId="0" fontId="1" fillId="5" borderId="0" xfId="0" applyFont="1" applyFill="1"/>
    <xf numFmtId="0" fontId="6" fillId="6" borderId="0" xfId="0" applyFont="1" applyFill="1"/>
    <xf numFmtId="4" fontId="3" fillId="5" borderId="0" xfId="0" applyNumberFormat="1" applyFont="1" applyFill="1"/>
    <xf numFmtId="164" fontId="3" fillId="5" borderId="0" xfId="0" applyNumberFormat="1" applyFont="1" applyFill="1"/>
    <xf numFmtId="167" fontId="1" fillId="4" borderId="0" xfId="0" applyNumberFormat="1" applyFont="1" applyFill="1"/>
    <xf numFmtId="0" fontId="0" fillId="4" borderId="0" xfId="0" applyFont="1" applyFill="1"/>
    <xf numFmtId="3" fontId="1" fillId="0" borderId="0" xfId="0" applyNumberFormat="1" applyFont="1"/>
    <xf numFmtId="3" fontId="0" fillId="0" borderId="0" xfId="0" applyNumberFormat="1"/>
    <xf numFmtId="3" fontId="0" fillId="0" borderId="0" xfId="0" applyNumberFormat="1" applyFont="1"/>
    <xf numFmtId="0" fontId="0" fillId="0" borderId="0" xfId="0"/>
    <xf numFmtId="0" fontId="0" fillId="5" borderId="0" xfId="0" applyFont="1" applyFill="1"/>
    <xf numFmtId="0" fontId="3" fillId="5" borderId="0" xfId="0" applyFont="1" applyFill="1" applyAlignment="1">
      <alignment horizontal="right"/>
    </xf>
    <xf numFmtId="164" fontId="3" fillId="5" borderId="0" xfId="0" applyNumberFormat="1" applyFont="1" applyFill="1" applyAlignment="1">
      <alignment horizontal="right"/>
    </xf>
    <xf numFmtId="4" fontId="1" fillId="7" borderId="0" xfId="0" applyNumberFormat="1" applyFont="1" applyFill="1"/>
    <xf numFmtId="0" fontId="1" fillId="7" borderId="0" xfId="0" applyFont="1" applyFill="1"/>
    <xf numFmtId="0" fontId="5" fillId="7" borderId="0" xfId="0" applyFont="1" applyFill="1"/>
    <xf numFmtId="3" fontId="1" fillId="7" borderId="0" xfId="0" applyNumberFormat="1" applyFont="1" applyFill="1"/>
    <xf numFmtId="3" fontId="7" fillId="7" borderId="0" xfId="0" applyNumberFormat="1" applyFont="1" applyFill="1"/>
    <xf numFmtId="4" fontId="7" fillId="7" borderId="0" xfId="0" applyNumberFormat="1" applyFont="1" applyFill="1"/>
    <xf numFmtId="165" fontId="7" fillId="7" borderId="0" xfId="0" applyNumberFormat="1" applyFont="1" applyFill="1"/>
    <xf numFmtId="0" fontId="0" fillId="0" borderId="0" xfId="0"/>
    <xf numFmtId="4" fontId="4" fillId="5" borderId="0" xfId="0" applyNumberFormat="1" applyFont="1" applyFill="1"/>
    <xf numFmtId="0" fontId="0" fillId="0" borderId="0" xfId="0"/>
    <xf numFmtId="0" fontId="0" fillId="0" borderId="0" xfId="0" applyAlignment="1">
      <alignment horizontal="right"/>
    </xf>
    <xf numFmtId="0" fontId="4" fillId="0" borderId="0" xfId="0" applyFont="1"/>
    <xf numFmtId="0" fontId="1" fillId="0" borderId="0" xfId="0" applyFont="1"/>
    <xf numFmtId="17" fontId="0" fillId="0" borderId="0" xfId="0" applyNumberFormat="1"/>
    <xf numFmtId="164" fontId="1" fillId="0" borderId="0" xfId="0" applyNumberFormat="1" applyFont="1"/>
    <xf numFmtId="164" fontId="0" fillId="0" borderId="0" xfId="0" applyNumberFormat="1" applyFont="1"/>
    <xf numFmtId="0" fontId="0" fillId="8" borderId="0" xfId="0" applyFont="1" applyFill="1"/>
    <xf numFmtId="0" fontId="0" fillId="8" borderId="0" xfId="0" applyFill="1"/>
    <xf numFmtId="0" fontId="8" fillId="8" borderId="0" xfId="0" applyFont="1" applyFill="1"/>
    <xf numFmtId="0" fontId="0" fillId="8" borderId="0" xfId="0" applyNumberFormat="1" applyFont="1" applyFill="1"/>
    <xf numFmtId="0" fontId="1" fillId="8" borderId="0" xfId="0" applyFont="1" applyFill="1"/>
    <xf numFmtId="0" fontId="3" fillId="8" borderId="0" xfId="0" applyFont="1" applyFill="1"/>
    <xf numFmtId="166" fontId="1" fillId="8" borderId="0" xfId="0" applyNumberFormat="1" applyFont="1" applyFill="1"/>
    <xf numFmtId="0" fontId="0" fillId="8" borderId="0" xfId="0" applyFont="1" applyFill="1" applyAlignment="1">
      <alignment horizontal="right"/>
    </xf>
    <xf numFmtId="0" fontId="0" fillId="0" borderId="0" xfId="0" quotePrefix="1"/>
    <xf numFmtId="0" fontId="0" fillId="0" borderId="0" xfId="0" applyFont="1"/>
    <xf numFmtId="0" fontId="1" fillId="7" borderId="0" xfId="0" applyNumberFormat="1" applyFont="1" applyFill="1"/>
    <xf numFmtId="44" fontId="7" fillId="7" borderId="0" xfId="2" applyFont="1" applyFill="1"/>
    <xf numFmtId="44" fontId="0" fillId="0" borderId="0" xfId="2" applyFont="1"/>
    <xf numFmtId="0" fontId="3" fillId="9" borderId="0" xfId="0" applyFont="1" applyFill="1"/>
    <xf numFmtId="4" fontId="3" fillId="9" borderId="0" xfId="0" applyNumberFormat="1" applyFont="1" applyFill="1"/>
    <xf numFmtId="164" fontId="3" fillId="9" borderId="0" xfId="0" applyNumberFormat="1" applyFont="1" applyFill="1"/>
    <xf numFmtId="0" fontId="0" fillId="0" borderId="0" xfId="0" applyAlignment="1"/>
    <xf numFmtId="0" fontId="6" fillId="6" borderId="0" xfId="0" applyNumberFormat="1" applyFont="1" applyFill="1" applyAlignment="1"/>
    <xf numFmtId="0" fontId="0" fillId="0" borderId="0" xfId="0" applyFill="1"/>
    <xf numFmtId="9" fontId="1" fillId="0" borderId="0" xfId="3" applyFont="1" applyFill="1"/>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zure.microsoft.com/en-us/pricing/details/sql-database/elastic/" TargetMode="External"/><Relationship Id="rId7" Type="http://schemas.openxmlformats.org/officeDocument/2006/relationships/printerSettings" Target="../printerSettings/printerSettings1.bin"/><Relationship Id="rId2" Type="http://schemas.openxmlformats.org/officeDocument/2006/relationships/hyperlink" Target="https://azure.microsoft.com/en-us/pricing/details/app-service/windows/" TargetMode="External"/><Relationship Id="rId1" Type="http://schemas.openxmlformats.org/officeDocument/2006/relationships/hyperlink" Target="https://azure.microsoft.com/en-us/pricing/details/active-directory/" TargetMode="External"/><Relationship Id="rId6" Type="http://schemas.openxmlformats.org/officeDocument/2006/relationships/hyperlink" Target="https://azure.microsoft.com/en-us/pricing/details/key-vault/" TargetMode="External"/><Relationship Id="rId5" Type="http://schemas.openxmlformats.org/officeDocument/2006/relationships/hyperlink" Target="https://azure.microsoft.com/en-us/pricing/details/cache/" TargetMode="External"/><Relationship Id="rId4" Type="http://schemas.openxmlformats.org/officeDocument/2006/relationships/hyperlink" Target="https://azure.microsoft.com/en-us/pricing/details/storage/blob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2033-F8F5-4A21-92FF-D79505B34936}">
  <dimension ref="A1:G183"/>
  <sheetViews>
    <sheetView tabSelected="1" topLeftCell="A133" zoomScaleNormal="100" workbookViewId="0">
      <selection activeCell="A184" sqref="A184"/>
    </sheetView>
  </sheetViews>
  <sheetFormatPr defaultColWidth="9.08984375" defaultRowHeight="14.5" x14ac:dyDescent="0.35"/>
  <cols>
    <col min="1" max="1" width="50.90625" style="5" bestFit="1" customWidth="1"/>
    <col min="2" max="2" width="25" style="3" customWidth="1"/>
    <col min="3" max="3" width="21.7265625" style="5" customWidth="1"/>
    <col min="4" max="4" width="19.7265625" style="5" customWidth="1"/>
    <col min="5" max="5" width="226.7265625" style="5" bestFit="1" customWidth="1"/>
    <col min="6" max="6" width="87" style="5" bestFit="1" customWidth="1"/>
    <col min="7" max="7" width="66.54296875" style="5" bestFit="1" customWidth="1"/>
    <col min="8" max="16384" width="9.08984375" style="5"/>
  </cols>
  <sheetData>
    <row r="1" spans="1:5" s="6" customFormat="1" x14ac:dyDescent="0.35">
      <c r="A1" s="6" t="s">
        <v>0</v>
      </c>
      <c r="B1" s="2"/>
    </row>
    <row r="2" spans="1:5" customFormat="1" x14ac:dyDescent="0.35">
      <c r="A2" s="67" t="s">
        <v>1</v>
      </c>
      <c r="B2" s="67"/>
      <c r="C2" s="67"/>
      <c r="D2" s="67"/>
      <c r="E2" s="67"/>
    </row>
    <row r="3" spans="1:5" customFormat="1" x14ac:dyDescent="0.35">
      <c r="A3" s="9" t="s">
        <v>2</v>
      </c>
      <c r="B3" s="10" t="s">
        <v>186</v>
      </c>
      <c r="C3" s="67" t="s">
        <v>3</v>
      </c>
      <c r="D3" s="67"/>
      <c r="E3" s="67"/>
    </row>
    <row r="4" spans="1:5" customFormat="1" x14ac:dyDescent="0.35">
      <c r="A4" s="67" t="s">
        <v>4</v>
      </c>
      <c r="B4" s="67"/>
      <c r="C4" s="67"/>
      <c r="D4" s="67"/>
      <c r="E4" s="67"/>
    </row>
    <row r="5" spans="1:5" s="16" customFormat="1" x14ac:dyDescent="0.35">
      <c r="A5" s="44"/>
      <c r="B5" s="44"/>
      <c r="C5" s="44"/>
      <c r="D5" s="44"/>
      <c r="E5" s="4"/>
    </row>
    <row r="6" spans="1:5" s="52" customFormat="1" x14ac:dyDescent="0.35">
      <c r="A6" s="51" t="s">
        <v>5</v>
      </c>
      <c r="B6" s="52" t="s">
        <v>6</v>
      </c>
      <c r="E6" s="53" t="s">
        <v>7</v>
      </c>
    </row>
    <row r="7" spans="1:5" s="19" customFormat="1" x14ac:dyDescent="0.35">
      <c r="A7" s="19" t="s">
        <v>8</v>
      </c>
    </row>
    <row r="8" spans="1:5" customFormat="1" x14ac:dyDescent="0.35">
      <c r="A8" s="44" t="s">
        <v>9</v>
      </c>
      <c r="B8" s="38">
        <v>100</v>
      </c>
      <c r="C8" s="44"/>
      <c r="D8" s="44"/>
      <c r="E8" s="4" t="s">
        <v>194</v>
      </c>
    </row>
    <row r="9" spans="1:5" s="31" customFormat="1" x14ac:dyDescent="0.35">
      <c r="A9" s="44" t="s">
        <v>10</v>
      </c>
      <c r="B9" s="38">
        <v>1800</v>
      </c>
      <c r="C9" s="44"/>
      <c r="D9" s="44"/>
      <c r="E9" s="4" t="s">
        <v>188</v>
      </c>
    </row>
    <row r="10" spans="1:5" x14ac:dyDescent="0.35">
      <c r="A10" s="44" t="s">
        <v>11</v>
      </c>
      <c r="B10" s="35">
        <v>0.2</v>
      </c>
      <c r="C10" s="44"/>
      <c r="D10" s="44"/>
      <c r="E10" s="4" t="s">
        <v>189</v>
      </c>
    </row>
    <row r="11" spans="1:5" s="16" customFormat="1" x14ac:dyDescent="0.35">
      <c r="A11" s="44" t="s">
        <v>12</v>
      </c>
      <c r="B11" s="35">
        <v>0.5</v>
      </c>
      <c r="C11" s="44"/>
      <c r="D11" s="44"/>
      <c r="E11" s="4" t="s">
        <v>190</v>
      </c>
    </row>
    <row r="12" spans="1:5" s="19" customFormat="1" x14ac:dyDescent="0.35">
      <c r="A12" s="19" t="s">
        <v>13</v>
      </c>
      <c r="B12" s="43"/>
    </row>
    <row r="13" spans="1:5" s="1" customFormat="1" x14ac:dyDescent="0.35">
      <c r="A13" s="44" t="s">
        <v>14</v>
      </c>
      <c r="B13" s="61">
        <v>0.1</v>
      </c>
      <c r="C13" s="44"/>
      <c r="D13" s="44"/>
      <c r="E13" s="4" t="s">
        <v>15</v>
      </c>
    </row>
    <row r="14" spans="1:5" x14ac:dyDescent="0.35">
      <c r="A14" s="44" t="s">
        <v>16</v>
      </c>
      <c r="B14" s="35">
        <v>0.4</v>
      </c>
      <c r="C14" s="44"/>
      <c r="D14" s="44"/>
      <c r="E14" s="4" t="s">
        <v>17</v>
      </c>
    </row>
    <row r="15" spans="1:5" x14ac:dyDescent="0.35">
      <c r="A15" s="44" t="s">
        <v>181</v>
      </c>
      <c r="B15" s="35">
        <v>0.1</v>
      </c>
      <c r="C15" s="44"/>
      <c r="D15" s="44"/>
      <c r="E15" s="4" t="s">
        <v>196</v>
      </c>
    </row>
    <row r="16" spans="1:5" x14ac:dyDescent="0.35">
      <c r="A16" s="44" t="s">
        <v>18</v>
      </c>
      <c r="B16" s="36">
        <v>5</v>
      </c>
      <c r="C16" s="44"/>
      <c r="D16" s="44"/>
      <c r="E16" s="4" t="s">
        <v>19</v>
      </c>
    </row>
    <row r="17" spans="1:7" x14ac:dyDescent="0.35">
      <c r="A17" s="44" t="s">
        <v>20</v>
      </c>
      <c r="B17" s="35">
        <v>25</v>
      </c>
      <c r="C17" s="44"/>
      <c r="D17" s="44"/>
      <c r="E17" s="4" t="s">
        <v>197</v>
      </c>
      <c r="F17" s="44"/>
      <c r="G17" s="44"/>
    </row>
    <row r="18" spans="1:7" s="19" customFormat="1" x14ac:dyDescent="0.35">
      <c r="A18" s="19" t="s">
        <v>21</v>
      </c>
      <c r="B18" s="43"/>
    </row>
    <row r="19" spans="1:7" x14ac:dyDescent="0.35">
      <c r="A19" s="10" t="s">
        <v>22</v>
      </c>
      <c r="B19" s="37">
        <v>1.5</v>
      </c>
      <c r="C19" s="44"/>
      <c r="D19" s="44"/>
      <c r="E19" s="4" t="s">
        <v>23</v>
      </c>
      <c r="F19" s="44"/>
      <c r="G19" s="44"/>
    </row>
    <row r="21" spans="1:7" s="52" customFormat="1" x14ac:dyDescent="0.35">
      <c r="A21" s="51" t="s">
        <v>24</v>
      </c>
      <c r="B21" s="54"/>
      <c r="D21" s="55"/>
      <c r="F21" s="51"/>
    </row>
    <row r="22" spans="1:7" x14ac:dyDescent="0.35">
      <c r="A22" s="44" t="s">
        <v>25</v>
      </c>
      <c r="B22" s="39">
        <v>5</v>
      </c>
      <c r="C22" s="44"/>
      <c r="D22" s="44"/>
      <c r="E22" s="4" t="s">
        <v>200</v>
      </c>
      <c r="F22" s="44"/>
      <c r="G22" s="44"/>
    </row>
    <row r="23" spans="1:7" customFormat="1" x14ac:dyDescent="0.35">
      <c r="A23" s="44" t="s">
        <v>26</v>
      </c>
      <c r="B23" s="40">
        <v>2</v>
      </c>
      <c r="C23" s="44"/>
      <c r="D23" s="44"/>
      <c r="E23" s="4" t="s">
        <v>178</v>
      </c>
      <c r="F23" s="44"/>
      <c r="G23" s="44"/>
    </row>
    <row r="24" spans="1:7" x14ac:dyDescent="0.35">
      <c r="A24" s="44" t="s">
        <v>27</v>
      </c>
      <c r="B24" s="40">
        <v>500</v>
      </c>
      <c r="C24" s="44"/>
      <c r="D24" s="44"/>
      <c r="E24" s="4" t="s">
        <v>28</v>
      </c>
      <c r="F24" s="44"/>
      <c r="G24" s="44"/>
    </row>
    <row r="25" spans="1:7" x14ac:dyDescent="0.35">
      <c r="A25" s="44" t="s">
        <v>29</v>
      </c>
      <c r="B25" s="40">
        <v>2000</v>
      </c>
      <c r="C25" s="44"/>
      <c r="D25" s="44"/>
      <c r="E25" s="4" t="s">
        <v>198</v>
      </c>
      <c r="F25" s="44"/>
      <c r="G25" s="44"/>
    </row>
    <row r="26" spans="1:7" x14ac:dyDescent="0.35">
      <c r="A26" s="44" t="s">
        <v>30</v>
      </c>
      <c r="B26" s="40">
        <v>0.05</v>
      </c>
      <c r="C26" s="44"/>
      <c r="D26" s="44"/>
      <c r="E26" s="4" t="s">
        <v>31</v>
      </c>
      <c r="F26" s="44"/>
      <c r="G26" s="44"/>
    </row>
    <row r="27" spans="1:7" x14ac:dyDescent="0.35">
      <c r="A27" s="44" t="s">
        <v>32</v>
      </c>
      <c r="B27" s="40">
        <v>1.1000000000000001</v>
      </c>
      <c r="C27" s="44"/>
      <c r="D27" s="44"/>
      <c r="E27" s="4" t="s">
        <v>33</v>
      </c>
      <c r="F27" s="44"/>
      <c r="G27" s="44"/>
    </row>
    <row r="28" spans="1:7" x14ac:dyDescent="0.35">
      <c r="A28" s="44" t="s">
        <v>34</v>
      </c>
      <c r="B28" s="41">
        <v>1E-3</v>
      </c>
      <c r="C28" s="44"/>
      <c r="D28" s="44"/>
      <c r="E28" s="4" t="s">
        <v>35</v>
      </c>
      <c r="F28" s="44"/>
      <c r="G28" s="44"/>
    </row>
    <row r="29" spans="1:7" s="16" customFormat="1" x14ac:dyDescent="0.35">
      <c r="A29" s="44" t="s">
        <v>36</v>
      </c>
      <c r="B29" s="41">
        <v>0.02</v>
      </c>
      <c r="C29" s="44"/>
      <c r="D29" s="44"/>
      <c r="E29" s="4" t="s">
        <v>199</v>
      </c>
      <c r="F29" s="44"/>
      <c r="G29" s="44"/>
    </row>
    <row r="30" spans="1:7" s="44" customFormat="1" x14ac:dyDescent="0.35">
      <c r="A30" s="44" t="s">
        <v>209</v>
      </c>
      <c r="B30" s="41">
        <v>1.6E-2</v>
      </c>
      <c r="E30" s="4" t="s">
        <v>212</v>
      </c>
    </row>
    <row r="31" spans="1:7" customFormat="1" x14ac:dyDescent="0.35">
      <c r="A31" s="44"/>
      <c r="B31" s="44"/>
      <c r="C31" s="44"/>
      <c r="D31" s="44"/>
      <c r="E31" s="44"/>
      <c r="F31" s="44"/>
      <c r="G31" s="44"/>
    </row>
    <row r="32" spans="1:7" s="52" customFormat="1" x14ac:dyDescent="0.35">
      <c r="A32" s="51" t="s">
        <v>37</v>
      </c>
      <c r="B32" s="54"/>
      <c r="E32" s="56"/>
    </row>
    <row r="33" spans="1:7" customFormat="1" x14ac:dyDescent="0.35">
      <c r="A33" s="44" t="s">
        <v>38</v>
      </c>
      <c r="B33" s="13">
        <f>B8*B9</f>
        <v>180000</v>
      </c>
      <c r="C33" s="44"/>
      <c r="D33" s="44"/>
      <c r="E33" s="4" t="s">
        <v>39</v>
      </c>
      <c r="F33" s="44"/>
      <c r="G33" s="44"/>
    </row>
    <row r="34" spans="1:7" x14ac:dyDescent="0.35">
      <c r="A34" s="44" t="s">
        <v>40</v>
      </c>
      <c r="B34" s="13">
        <f>_xlfn.CEILING.MATH(B33*B10)</f>
        <v>36000</v>
      </c>
      <c r="C34" s="44"/>
      <c r="D34" s="44"/>
      <c r="E34" s="4" t="s">
        <v>41</v>
      </c>
      <c r="F34" s="44"/>
      <c r="G34" s="44"/>
    </row>
    <row r="35" spans="1:7" s="18" customFormat="1" x14ac:dyDescent="0.35">
      <c r="A35" s="44" t="s">
        <v>42</v>
      </c>
      <c r="B35" s="14">
        <f>B34*(B15+B14+B13)*B17</f>
        <v>540000</v>
      </c>
      <c r="C35" s="44"/>
      <c r="D35" s="44"/>
      <c r="E35" s="4" t="s">
        <v>43</v>
      </c>
      <c r="F35" s="44"/>
      <c r="G35" s="44"/>
    </row>
    <row r="36" spans="1:7" x14ac:dyDescent="0.35">
      <c r="A36" s="44"/>
      <c r="B36" s="11"/>
      <c r="C36" s="44"/>
      <c r="D36" s="44"/>
      <c r="E36" s="4"/>
      <c r="F36" s="44"/>
      <c r="G36" s="44"/>
    </row>
    <row r="37" spans="1:7" s="52" customFormat="1" x14ac:dyDescent="0.35">
      <c r="A37" s="52" t="s">
        <v>44</v>
      </c>
      <c r="B37" s="57"/>
      <c r="E37" s="56"/>
    </row>
    <row r="38" spans="1:7" x14ac:dyDescent="0.35">
      <c r="A38" s="44" t="s">
        <v>45</v>
      </c>
      <c r="B38" s="44">
        <f>B23*B16</f>
        <v>10</v>
      </c>
      <c r="C38" s="44"/>
      <c r="D38" s="44"/>
      <c r="E38" s="4" t="s">
        <v>46</v>
      </c>
      <c r="F38" s="44"/>
      <c r="G38" s="44"/>
    </row>
    <row r="39" spans="1:7" s="16" customFormat="1" x14ac:dyDescent="0.35">
      <c r="A39" s="44" t="s">
        <v>47</v>
      </c>
      <c r="B39" s="44">
        <f>B16*B29</f>
        <v>0.1</v>
      </c>
      <c r="C39" s="44"/>
      <c r="D39" s="44"/>
      <c r="E39" s="4" t="s">
        <v>48</v>
      </c>
      <c r="F39" s="44"/>
      <c r="G39" s="44"/>
    </row>
    <row r="40" spans="1:7" x14ac:dyDescent="0.35">
      <c r="A40" s="44" t="s">
        <v>49</v>
      </c>
      <c r="B40" s="44">
        <f>B17*24</f>
        <v>600</v>
      </c>
      <c r="C40" s="44"/>
      <c r="D40" s="44"/>
      <c r="E40" s="4" t="s">
        <v>50</v>
      </c>
      <c r="F40" s="44"/>
      <c r="G40" s="44"/>
    </row>
    <row r="41" spans="1:7" x14ac:dyDescent="0.35">
      <c r="A41" s="44"/>
      <c r="C41" s="44"/>
      <c r="D41" s="44"/>
      <c r="E41" s="4"/>
      <c r="F41" s="44"/>
      <c r="G41" s="44"/>
    </row>
    <row r="42" spans="1:7" s="52" customFormat="1" x14ac:dyDescent="0.35">
      <c r="A42" s="51" t="s">
        <v>51</v>
      </c>
      <c r="B42" s="54"/>
      <c r="D42" s="51"/>
      <c r="E42" s="56"/>
    </row>
    <row r="43" spans="1:7" customFormat="1" x14ac:dyDescent="0.35">
      <c r="A43" s="44" t="s">
        <v>52</v>
      </c>
      <c r="B43" s="28">
        <f>_xlfn.CEILING.MATH(B8/B22)</f>
        <v>20</v>
      </c>
      <c r="C43" s="44"/>
      <c r="D43" s="44"/>
      <c r="E43" s="4" t="s">
        <v>53</v>
      </c>
      <c r="F43" s="44"/>
      <c r="G43" s="44"/>
    </row>
    <row r="44" spans="1:7" customFormat="1" x14ac:dyDescent="0.35">
      <c r="A44" s="44" t="s">
        <v>38</v>
      </c>
      <c r="B44" s="28">
        <f>B43*B9</f>
        <v>36000</v>
      </c>
      <c r="C44" s="44"/>
      <c r="D44" s="44"/>
      <c r="E44" s="4" t="s">
        <v>54</v>
      </c>
      <c r="F44" s="44"/>
      <c r="G44" s="44"/>
    </row>
    <row r="45" spans="1:7" x14ac:dyDescent="0.35">
      <c r="A45" s="44" t="s">
        <v>40</v>
      </c>
      <c r="B45" s="28">
        <f>B44*B10</f>
        <v>7200</v>
      </c>
      <c r="C45" s="44"/>
      <c r="D45" s="44"/>
      <c r="E45" s="4" t="s">
        <v>55</v>
      </c>
      <c r="F45" s="44"/>
      <c r="G45" s="44"/>
    </row>
    <row r="46" spans="1:7" x14ac:dyDescent="0.35">
      <c r="A46" s="44" t="s">
        <v>182</v>
      </c>
      <c r="B46" s="29">
        <f>B45*(B13 + B14 + B15)*B17</f>
        <v>108000</v>
      </c>
      <c r="C46" s="44"/>
      <c r="D46" s="44"/>
      <c r="E46" s="4" t="s">
        <v>56</v>
      </c>
      <c r="F46" s="44"/>
      <c r="G46" s="44"/>
    </row>
    <row r="47" spans="1:7" x14ac:dyDescent="0.35">
      <c r="A47" s="44" t="s">
        <v>57</v>
      </c>
      <c r="B47" s="29">
        <f>B45*B13*B17</f>
        <v>18000</v>
      </c>
      <c r="C47" s="44"/>
      <c r="D47" s="44"/>
      <c r="E47" s="4" t="s">
        <v>58</v>
      </c>
      <c r="F47" s="44"/>
      <c r="G47" s="44"/>
    </row>
    <row r="48" spans="1:7" s="16" customFormat="1" x14ac:dyDescent="0.35">
      <c r="A48" s="47" t="s">
        <v>63</v>
      </c>
      <c r="B48" s="28">
        <f>B47*B16</f>
        <v>90000</v>
      </c>
      <c r="C48" s="44"/>
      <c r="D48" s="44"/>
      <c r="E48" s="4" t="s">
        <v>64</v>
      </c>
      <c r="F48" s="44"/>
    </row>
    <row r="49" spans="1:7" x14ac:dyDescent="0.35">
      <c r="A49" s="44" t="s">
        <v>59</v>
      </c>
      <c r="B49" s="29">
        <f>B45*B14*B17</f>
        <v>72000</v>
      </c>
      <c r="C49" s="44"/>
      <c r="D49" s="44"/>
      <c r="E49" s="4" t="s">
        <v>60</v>
      </c>
      <c r="F49" s="44"/>
      <c r="G49" s="44"/>
    </row>
    <row r="50" spans="1:7" s="16" customFormat="1" x14ac:dyDescent="0.35">
      <c r="A50" s="47" t="s">
        <v>61</v>
      </c>
      <c r="B50" s="28">
        <f>B49*B16</f>
        <v>360000</v>
      </c>
      <c r="C50" s="44"/>
      <c r="D50" s="44"/>
      <c r="E50" s="4" t="s">
        <v>62</v>
      </c>
      <c r="F50" s="44"/>
      <c r="G50" s="44"/>
    </row>
    <row r="51" spans="1:7" s="44" customFormat="1" x14ac:dyDescent="0.35">
      <c r="A51" s="60" t="s">
        <v>226</v>
      </c>
      <c r="B51" s="30">
        <f>B44*B47</f>
        <v>648000000</v>
      </c>
      <c r="E51" s="4" t="s">
        <v>227</v>
      </c>
    </row>
    <row r="52" spans="1:7" s="16" customFormat="1" x14ac:dyDescent="0.35">
      <c r="A52" s="44" t="s">
        <v>177</v>
      </c>
      <c r="B52" s="30">
        <f>B47*B38/1000</f>
        <v>180</v>
      </c>
      <c r="C52" s="44"/>
      <c r="D52" s="44"/>
      <c r="E52" s="4" t="s">
        <v>65</v>
      </c>
      <c r="F52" s="44"/>
    </row>
    <row r="53" spans="1:7" s="16" customFormat="1" x14ac:dyDescent="0.35">
      <c r="A53" s="44" t="s">
        <v>66</v>
      </c>
      <c r="B53" s="30">
        <f>B48*B11/60</f>
        <v>750</v>
      </c>
      <c r="C53" s="44"/>
      <c r="D53" s="44"/>
      <c r="E53" s="4" t="s">
        <v>67</v>
      </c>
      <c r="F53" s="44"/>
    </row>
    <row r="54" spans="1:7" s="16" customFormat="1" x14ac:dyDescent="0.35">
      <c r="A54" s="44" t="s">
        <v>68</v>
      </c>
      <c r="B54" s="30">
        <f>B47*B39/1000</f>
        <v>1.8</v>
      </c>
      <c r="C54" s="44"/>
      <c r="D54" s="44"/>
      <c r="E54" s="4" t="s">
        <v>201</v>
      </c>
      <c r="F54" s="44"/>
    </row>
    <row r="55" spans="1:7" s="16" customFormat="1" x14ac:dyDescent="0.35">
      <c r="A55" s="44" t="s">
        <v>69</v>
      </c>
      <c r="B55" s="29">
        <f>B49*B29/1000*B11</f>
        <v>0.72</v>
      </c>
      <c r="C55" s="44"/>
      <c r="D55" s="44"/>
      <c r="E55" s="4" t="s">
        <v>70</v>
      </c>
      <c r="F55" s="44"/>
    </row>
    <row r="56" spans="1:7" x14ac:dyDescent="0.35">
      <c r="A56" s="44" t="s">
        <v>71</v>
      </c>
      <c r="B56" s="29">
        <f>B24*B43/1000*B11</f>
        <v>5</v>
      </c>
      <c r="C56" s="44"/>
      <c r="D56" s="44"/>
      <c r="E56" s="4" t="s">
        <v>202</v>
      </c>
      <c r="F56" s="44"/>
    </row>
    <row r="57" spans="1:7" x14ac:dyDescent="0.35">
      <c r="A57" s="44" t="s">
        <v>72</v>
      </c>
      <c r="B57" s="29">
        <f>B46*B26</f>
        <v>5400</v>
      </c>
      <c r="C57" s="44"/>
      <c r="D57" s="44"/>
      <c r="E57" s="4" t="s">
        <v>73</v>
      </c>
      <c r="F57" s="44"/>
    </row>
    <row r="58" spans="1:7" s="16" customFormat="1" x14ac:dyDescent="0.35">
      <c r="A58" s="44" t="s">
        <v>74</v>
      </c>
      <c r="B58" s="29">
        <f>_xlfn.CEILING.MATH(B45/B25)</f>
        <v>4</v>
      </c>
      <c r="C58" s="8"/>
      <c r="D58" s="8"/>
      <c r="E58" s="4" t="s">
        <v>203</v>
      </c>
      <c r="F58" s="44"/>
    </row>
    <row r="59" spans="1:7" s="16" customFormat="1" x14ac:dyDescent="0.35">
      <c r="A59" s="44" t="s">
        <v>75</v>
      </c>
      <c r="B59" s="29">
        <f>B43</f>
        <v>20</v>
      </c>
      <c r="C59" s="8"/>
      <c r="D59" s="8"/>
      <c r="E59" s="4" t="s">
        <v>76</v>
      </c>
      <c r="F59" s="44"/>
    </row>
    <row r="60" spans="1:7" s="44" customFormat="1" x14ac:dyDescent="0.35">
      <c r="A60" s="44" t="s">
        <v>210</v>
      </c>
      <c r="B60" s="29">
        <f>B45*B30/1000</f>
        <v>0.1152</v>
      </c>
      <c r="C60" s="8"/>
      <c r="D60" s="8"/>
      <c r="E60" s="4" t="s">
        <v>211</v>
      </c>
    </row>
    <row r="61" spans="1:7" x14ac:dyDescent="0.35">
      <c r="A61" s="44"/>
      <c r="C61" s="44"/>
      <c r="D61" s="44"/>
      <c r="E61" s="4"/>
      <c r="F61" s="44"/>
    </row>
    <row r="62" spans="1:7" s="55" customFormat="1" x14ac:dyDescent="0.35">
      <c r="A62" s="51" t="s">
        <v>77</v>
      </c>
      <c r="B62" s="54"/>
      <c r="E62" s="56"/>
      <c r="F62" s="51" t="s">
        <v>78</v>
      </c>
    </row>
    <row r="63" spans="1:7" x14ac:dyDescent="0.35">
      <c r="A63" s="44" t="s">
        <v>204</v>
      </c>
      <c r="B63" s="62">
        <v>0.1</v>
      </c>
      <c r="C63" s="44"/>
      <c r="D63" s="44"/>
      <c r="E63" s="4" t="s">
        <v>205</v>
      </c>
      <c r="F63" s="17" t="s">
        <v>79</v>
      </c>
    </row>
    <row r="64" spans="1:7" x14ac:dyDescent="0.35">
      <c r="A64" s="44" t="s">
        <v>180</v>
      </c>
      <c r="B64" s="62">
        <v>0.50439999999999996</v>
      </c>
      <c r="C64" s="44"/>
      <c r="D64" s="44"/>
      <c r="E64" s="4" t="s">
        <v>206</v>
      </c>
      <c r="F64" s="17" t="s">
        <v>80</v>
      </c>
    </row>
    <row r="65" spans="1:6" x14ac:dyDescent="0.35">
      <c r="A65" s="44" t="s">
        <v>81</v>
      </c>
      <c r="B65" s="62">
        <v>100</v>
      </c>
      <c r="C65" s="44"/>
      <c r="D65" s="44"/>
      <c r="E65" s="4" t="s">
        <v>179</v>
      </c>
      <c r="F65" s="17"/>
    </row>
    <row r="66" spans="1:6" x14ac:dyDescent="0.35">
      <c r="A66" s="44" t="s">
        <v>82</v>
      </c>
      <c r="B66" s="62">
        <v>3.6799999999999999E-2</v>
      </c>
      <c r="C66" s="44"/>
      <c r="D66" s="44"/>
      <c r="E66" s="4" t="s">
        <v>207</v>
      </c>
      <c r="F66" s="17" t="s">
        <v>83</v>
      </c>
    </row>
    <row r="67" spans="1:6" x14ac:dyDescent="0.35">
      <c r="A67" s="44" t="s">
        <v>84</v>
      </c>
      <c r="B67" s="62">
        <v>0.02</v>
      </c>
      <c r="C67" s="44"/>
      <c r="D67" s="44"/>
      <c r="E67" s="4" t="s">
        <v>85</v>
      </c>
      <c r="F67" s="17"/>
    </row>
    <row r="68" spans="1:6" x14ac:dyDescent="0.35">
      <c r="A68" s="44" t="s">
        <v>86</v>
      </c>
      <c r="B68" s="62">
        <v>0.04</v>
      </c>
      <c r="C68" s="44"/>
      <c r="D68" s="44"/>
      <c r="E68" s="4" t="s">
        <v>87</v>
      </c>
      <c r="F68" s="17"/>
    </row>
    <row r="69" spans="1:6" x14ac:dyDescent="0.35">
      <c r="A69" s="44" t="s">
        <v>88</v>
      </c>
      <c r="B69" s="62">
        <v>0.1</v>
      </c>
      <c r="C69" s="44"/>
      <c r="D69" s="44"/>
      <c r="E69" s="4" t="s">
        <v>89</v>
      </c>
      <c r="F69" s="17"/>
    </row>
    <row r="70" spans="1:6" x14ac:dyDescent="0.35">
      <c r="A70" s="44" t="s">
        <v>90</v>
      </c>
      <c r="B70" s="62">
        <v>0.04</v>
      </c>
      <c r="C70" s="44"/>
      <c r="D70" s="44"/>
      <c r="E70" s="4" t="s">
        <v>91</v>
      </c>
      <c r="F70" s="17"/>
    </row>
    <row r="71" spans="1:6" x14ac:dyDescent="0.35">
      <c r="A71" s="44" t="s">
        <v>92</v>
      </c>
      <c r="B71" s="62">
        <v>0</v>
      </c>
      <c r="C71" s="44"/>
      <c r="D71" s="44"/>
      <c r="E71" s="4" t="s">
        <v>208</v>
      </c>
      <c r="F71" s="17" t="s">
        <v>93</v>
      </c>
    </row>
    <row r="72" spans="1:6" x14ac:dyDescent="0.35">
      <c r="A72" s="44" t="s">
        <v>213</v>
      </c>
      <c r="B72" s="62">
        <v>0.45</v>
      </c>
      <c r="C72" s="44"/>
      <c r="D72" s="44"/>
      <c r="E72" s="4" t="s">
        <v>214</v>
      </c>
      <c r="F72" s="17" t="s">
        <v>94</v>
      </c>
    </row>
    <row r="73" spans="1:6" x14ac:dyDescent="0.35">
      <c r="A73" s="59" t="s">
        <v>215</v>
      </c>
      <c r="B73" s="62">
        <v>0.03</v>
      </c>
      <c r="C73" s="44"/>
      <c r="D73" s="44"/>
      <c r="E73" s="4" t="s">
        <v>95</v>
      </c>
      <c r="F73" s="17" t="s">
        <v>96</v>
      </c>
    </row>
    <row r="74" spans="1:6" s="44" customFormat="1" x14ac:dyDescent="0.35">
      <c r="A74" s="44" t="s">
        <v>222</v>
      </c>
      <c r="B74" s="62">
        <f>17.5</f>
        <v>17.5</v>
      </c>
      <c r="E74" s="4" t="s">
        <v>218</v>
      </c>
      <c r="F74" s="17"/>
    </row>
    <row r="75" spans="1:6" x14ac:dyDescent="0.35">
      <c r="A75" s="44" t="s">
        <v>97</v>
      </c>
      <c r="B75" s="62">
        <v>0.02</v>
      </c>
      <c r="C75" s="44"/>
      <c r="D75" s="44"/>
      <c r="E75" s="4" t="s">
        <v>98</v>
      </c>
      <c r="F75" s="17"/>
    </row>
    <row r="76" spans="1:6" x14ac:dyDescent="0.35">
      <c r="A76" s="44" t="s">
        <v>99</v>
      </c>
      <c r="B76" s="62">
        <v>8.3000000000000004E-2</v>
      </c>
      <c r="C76" s="44"/>
      <c r="D76" s="44"/>
      <c r="E76" s="4" t="s">
        <v>100</v>
      </c>
      <c r="F76" s="17"/>
    </row>
    <row r="77" spans="1:6" s="44" customFormat="1" x14ac:dyDescent="0.35">
      <c r="A77" s="44" t="s">
        <v>221</v>
      </c>
      <c r="B77" s="62">
        <v>8.9999999999999993E-3</v>
      </c>
      <c r="E77" s="4" t="s">
        <v>95</v>
      </c>
      <c r="F77" s="17"/>
    </row>
    <row r="78" spans="1:6" x14ac:dyDescent="0.35">
      <c r="A78" s="44" t="s">
        <v>101</v>
      </c>
      <c r="B78" s="62">
        <v>2.2999999999999998</v>
      </c>
      <c r="C78" s="44"/>
      <c r="D78" s="44"/>
      <c r="E78" s="4" t="s">
        <v>102</v>
      </c>
      <c r="F78" s="17" t="s">
        <v>103</v>
      </c>
    </row>
    <row r="79" spans="1:6" s="42" customFormat="1" x14ac:dyDescent="0.35">
      <c r="A79" s="44" t="s">
        <v>104</v>
      </c>
      <c r="B79" s="62">
        <v>445</v>
      </c>
      <c r="C79" s="44"/>
      <c r="D79" s="44"/>
      <c r="E79" s="4" t="s">
        <v>105</v>
      </c>
      <c r="F79" s="17" t="s">
        <v>106</v>
      </c>
    </row>
    <row r="80" spans="1:6" s="42" customFormat="1" x14ac:dyDescent="0.35">
      <c r="A80" s="44" t="s">
        <v>107</v>
      </c>
      <c r="B80" s="62">
        <v>0</v>
      </c>
      <c r="C80" s="44"/>
      <c r="D80" s="44"/>
      <c r="E80" s="4" t="s">
        <v>108</v>
      </c>
      <c r="F80" s="17"/>
    </row>
    <row r="81" spans="1:6" s="42" customFormat="1" x14ac:dyDescent="0.35">
      <c r="A81" s="44" t="s">
        <v>109</v>
      </c>
      <c r="B81" s="62">
        <v>7.4999999999999997E-3</v>
      </c>
      <c r="C81" s="44"/>
      <c r="D81" s="44"/>
      <c r="E81" s="4" t="s">
        <v>110</v>
      </c>
      <c r="F81" s="17"/>
    </row>
    <row r="82" spans="1:6" s="42" customFormat="1" x14ac:dyDescent="0.35">
      <c r="A82" s="44" t="s">
        <v>111</v>
      </c>
      <c r="B82" s="62">
        <v>0</v>
      </c>
      <c r="C82" s="44"/>
      <c r="D82" s="44"/>
      <c r="E82" s="4" t="s">
        <v>216</v>
      </c>
      <c r="F82" s="17"/>
    </row>
    <row r="83" spans="1:6" s="16" customFormat="1" x14ac:dyDescent="0.35">
      <c r="A83" s="44" t="s">
        <v>112</v>
      </c>
      <c r="B83" s="62">
        <v>1</v>
      </c>
      <c r="C83" s="44" t="str">
        <f>ROUND(B83/60,2) &amp; " Per Minute"</f>
        <v>0.02 Per Minute</v>
      </c>
      <c r="D83" s="44"/>
      <c r="E83" s="4" t="s">
        <v>113</v>
      </c>
      <c r="F83" s="17"/>
    </row>
    <row r="84" spans="1:6" x14ac:dyDescent="0.35">
      <c r="A84" s="44"/>
      <c r="C84" s="44"/>
      <c r="D84" s="44"/>
      <c r="E84" s="44"/>
      <c r="F84" s="4"/>
    </row>
    <row r="85" spans="1:6" s="55" customFormat="1" x14ac:dyDescent="0.35">
      <c r="A85" s="51" t="s">
        <v>114</v>
      </c>
      <c r="B85" s="54" t="s">
        <v>115</v>
      </c>
      <c r="C85" s="58" t="s">
        <v>116</v>
      </c>
      <c r="D85" s="58" t="s">
        <v>117</v>
      </c>
      <c r="E85" s="51" t="s">
        <v>7</v>
      </c>
    </row>
    <row r="86" spans="1:6" s="22" customFormat="1" x14ac:dyDescent="0.35">
      <c r="A86" s="19" t="s">
        <v>118</v>
      </c>
      <c r="B86" s="20"/>
      <c r="C86" s="21"/>
      <c r="D86" s="21"/>
      <c r="E86" s="19" t="s">
        <v>119</v>
      </c>
    </row>
    <row r="87" spans="1:6" s="16" customFormat="1" x14ac:dyDescent="0.35">
      <c r="A87" s="44" t="s">
        <v>92</v>
      </c>
      <c r="B87" s="7">
        <v>1</v>
      </c>
      <c r="C87" s="63">
        <f>B87*B71</f>
        <v>0</v>
      </c>
      <c r="D87" s="8"/>
      <c r="E87" s="4" t="s">
        <v>122</v>
      </c>
    </row>
    <row r="88" spans="1:6" x14ac:dyDescent="0.35">
      <c r="A88" s="44" t="s">
        <v>192</v>
      </c>
      <c r="B88" s="7">
        <f>1*B40</f>
        <v>600</v>
      </c>
      <c r="C88" s="63">
        <f>B88*B72</f>
        <v>270</v>
      </c>
      <c r="D88" s="8"/>
      <c r="E88" s="4" t="s">
        <v>126</v>
      </c>
    </row>
    <row r="89" spans="1:6" x14ac:dyDescent="0.35">
      <c r="A89" s="44" t="s">
        <v>123</v>
      </c>
      <c r="B89" s="7">
        <f>_xlfn.CEILING.MATH(B43/B65)</f>
        <v>1</v>
      </c>
      <c r="C89" s="63">
        <f>B89*B64*B40</f>
        <v>302.64</v>
      </c>
      <c r="D89" s="8"/>
      <c r="E89" s="4" t="s">
        <v>124</v>
      </c>
    </row>
    <row r="90" spans="1:6" s="44" customFormat="1" x14ac:dyDescent="0.35">
      <c r="A90" s="44" t="s">
        <v>222</v>
      </c>
      <c r="B90" s="7">
        <f>B74</f>
        <v>17.5</v>
      </c>
      <c r="C90" s="63">
        <f>B74*B90</f>
        <v>306.25</v>
      </c>
      <c r="D90" s="8"/>
      <c r="E90" s="4" t="s">
        <v>217</v>
      </c>
    </row>
    <row r="91" spans="1:6" s="44" customFormat="1" x14ac:dyDescent="0.35">
      <c r="A91" s="44" t="s">
        <v>173</v>
      </c>
      <c r="B91" s="7">
        <f>B15*B45*B17/1000</f>
        <v>18</v>
      </c>
      <c r="C91" s="63">
        <f>B91*B73</f>
        <v>0.54</v>
      </c>
      <c r="D91"/>
      <c r="E91" s="4" t="s">
        <v>174</v>
      </c>
    </row>
    <row r="92" spans="1:6" s="44" customFormat="1" x14ac:dyDescent="0.35">
      <c r="A92" s="44" t="s">
        <v>224</v>
      </c>
      <c r="B92" s="7">
        <f>B57/10000</f>
        <v>0.54</v>
      </c>
      <c r="C92" s="63">
        <f>B92*B77</f>
        <v>4.8599999999999997E-3</v>
      </c>
      <c r="E92" s="4"/>
    </row>
    <row r="93" spans="1:6" x14ac:dyDescent="0.35">
      <c r="A93" s="44" t="s">
        <v>120</v>
      </c>
      <c r="B93" s="7">
        <f>CEILING(B45/B25, 1)*B40</f>
        <v>2400</v>
      </c>
      <c r="C93" s="63">
        <f>B93*B63</f>
        <v>240</v>
      </c>
      <c r="D93" s="8"/>
      <c r="E93" s="4" t="s">
        <v>121</v>
      </c>
    </row>
    <row r="94" spans="1:6" x14ac:dyDescent="0.35">
      <c r="A94" s="44" t="s">
        <v>127</v>
      </c>
      <c r="B94" s="7">
        <f>B57/10000</f>
        <v>0.54</v>
      </c>
      <c r="C94" s="63">
        <f>B94*B73</f>
        <v>1.6199999999999999E-2</v>
      </c>
      <c r="D94" s="8"/>
      <c r="E94" s="4" t="s">
        <v>128</v>
      </c>
    </row>
    <row r="95" spans="1:6" x14ac:dyDescent="0.35">
      <c r="A95" s="44" t="s">
        <v>129</v>
      </c>
      <c r="B95" s="7">
        <f>B28*B46/1000</f>
        <v>0.108</v>
      </c>
      <c r="C95" s="63">
        <f>B78*B95</f>
        <v>0.24839999999999998</v>
      </c>
      <c r="D95" s="8"/>
      <c r="E95" s="4" t="s">
        <v>130</v>
      </c>
    </row>
    <row r="96" spans="1:6" x14ac:dyDescent="0.35">
      <c r="A96" s="44" t="s">
        <v>166</v>
      </c>
      <c r="B96" s="7">
        <f>B43*B24/1000</f>
        <v>10</v>
      </c>
      <c r="C96" s="63">
        <v>0</v>
      </c>
      <c r="D96" s="8"/>
      <c r="E96" s="4" t="s">
        <v>125</v>
      </c>
    </row>
    <row r="97" spans="1:6" s="44" customFormat="1" x14ac:dyDescent="0.35">
      <c r="B97" s="7"/>
      <c r="C97" s="49" t="s">
        <v>191</v>
      </c>
      <c r="D97" s="12">
        <f>SUM(C87:C96)/B43*B19</f>
        <v>83.977459499999981</v>
      </c>
      <c r="E97" s="4"/>
    </row>
    <row r="98" spans="1:6" s="19" customFormat="1" x14ac:dyDescent="0.35">
      <c r="A98" s="19" t="s">
        <v>171</v>
      </c>
      <c r="B98" s="24"/>
      <c r="C98" s="25"/>
      <c r="D98" s="25"/>
      <c r="E98" s="19" t="s">
        <v>131</v>
      </c>
    </row>
    <row r="99" spans="1:6" x14ac:dyDescent="0.35">
      <c r="A99" s="44" t="s">
        <v>176</v>
      </c>
      <c r="B99" s="7">
        <f>B52</f>
        <v>180</v>
      </c>
      <c r="C99" s="63">
        <f>B99*B75</f>
        <v>3.6</v>
      </c>
      <c r="D99" s="8"/>
      <c r="E99" s="4" t="s">
        <v>132</v>
      </c>
    </row>
    <row r="100" spans="1:6" x14ac:dyDescent="0.35">
      <c r="A100" s="44" t="s">
        <v>175</v>
      </c>
      <c r="B100" s="7">
        <f>B47*B27/1000</f>
        <v>19.8</v>
      </c>
      <c r="C100" s="63">
        <f>B100*B76</f>
        <v>1.6434000000000002</v>
      </c>
      <c r="D100" s="8"/>
      <c r="E100" s="4" t="s">
        <v>172</v>
      </c>
    </row>
    <row r="101" spans="1:6" s="44" customFormat="1" x14ac:dyDescent="0.35">
      <c r="A101" s="44" t="s">
        <v>224</v>
      </c>
      <c r="B101" s="7">
        <f>B47/10000</f>
        <v>1.8</v>
      </c>
      <c r="C101" s="63">
        <f>B101*B77</f>
        <v>1.6199999999999999E-2</v>
      </c>
      <c r="D101" s="8"/>
      <c r="E101" s="4"/>
    </row>
    <row r="102" spans="1:6" x14ac:dyDescent="0.35">
      <c r="A102" s="44" t="s">
        <v>133</v>
      </c>
      <c r="B102" s="7">
        <f>B52</f>
        <v>180</v>
      </c>
      <c r="C102" s="63">
        <f>B66*B102</f>
        <v>6.6239999999999997</v>
      </c>
      <c r="D102" s="8"/>
      <c r="E102" s="4" t="s">
        <v>134</v>
      </c>
    </row>
    <row r="103" spans="1:6" x14ac:dyDescent="0.35">
      <c r="A103" s="44" t="s">
        <v>135</v>
      </c>
      <c r="B103" s="7">
        <f>B102</f>
        <v>180</v>
      </c>
      <c r="C103" s="63">
        <f>B103*B67</f>
        <v>3.6</v>
      </c>
      <c r="D103" s="8"/>
      <c r="E103" s="4" t="s">
        <v>136</v>
      </c>
    </row>
    <row r="104" spans="1:6" s="16" customFormat="1" x14ac:dyDescent="0.35">
      <c r="A104" s="44" t="s">
        <v>142</v>
      </c>
      <c r="B104" s="7">
        <f>B54</f>
        <v>1.8</v>
      </c>
      <c r="C104" s="63">
        <f>B104*B66</f>
        <v>6.6240000000000007E-2</v>
      </c>
      <c r="D104" s="8"/>
      <c r="E104" s="4" t="s">
        <v>143</v>
      </c>
      <c r="F104" s="44"/>
    </row>
    <row r="105" spans="1:6" s="16" customFormat="1" x14ac:dyDescent="0.35">
      <c r="A105" s="44" t="s">
        <v>144</v>
      </c>
      <c r="B105" s="7">
        <f>B54</f>
        <v>1.8</v>
      </c>
      <c r="C105" s="63">
        <f>B105*B67</f>
        <v>3.6000000000000004E-2</v>
      </c>
      <c r="D105" s="8"/>
      <c r="E105" s="4" t="s">
        <v>145</v>
      </c>
      <c r="F105" s="44"/>
    </row>
    <row r="106" spans="1:6" s="16" customFormat="1" x14ac:dyDescent="0.35">
      <c r="A106" s="44" t="s">
        <v>148</v>
      </c>
      <c r="B106" s="7">
        <f>B47/10000*B11</f>
        <v>0.9</v>
      </c>
      <c r="C106" s="63">
        <f>B106*B69</f>
        <v>9.0000000000000011E-2</v>
      </c>
      <c r="D106" s="8"/>
      <c r="E106" s="4" t="s">
        <v>149</v>
      </c>
      <c r="F106" s="44"/>
    </row>
    <row r="107" spans="1:6" x14ac:dyDescent="0.35">
      <c r="A107" s="44" t="s">
        <v>138</v>
      </c>
      <c r="B107" s="7">
        <f>B47/10000</f>
        <v>1.8</v>
      </c>
      <c r="C107" s="63">
        <f>B107*B69</f>
        <v>0.18000000000000002</v>
      </c>
      <c r="D107" s="8"/>
      <c r="E107" s="4" t="s">
        <v>139</v>
      </c>
      <c r="F107" s="44"/>
    </row>
    <row r="108" spans="1:6" s="16" customFormat="1" x14ac:dyDescent="0.35">
      <c r="A108" s="44" t="s">
        <v>140</v>
      </c>
      <c r="B108" s="7">
        <f>B53</f>
        <v>750</v>
      </c>
      <c r="C108" s="63">
        <f>B108*B83</f>
        <v>750</v>
      </c>
      <c r="D108"/>
      <c r="E108" s="4" t="s">
        <v>141</v>
      </c>
      <c r="F108" s="44"/>
    </row>
    <row r="109" spans="1:6" s="44" customFormat="1" x14ac:dyDescent="0.35">
      <c r="B109" s="7"/>
      <c r="C109" s="49" t="s">
        <v>184</v>
      </c>
      <c r="D109" s="26">
        <f>(SUM(C99:C107)*B19+C108)/B48</f>
        <v>8.5975973333333334E-3</v>
      </c>
      <c r="E109" s="4" t="s">
        <v>195</v>
      </c>
    </row>
    <row r="110" spans="1:6" s="44" customFormat="1" x14ac:dyDescent="0.35">
      <c r="B110" s="7"/>
      <c r="C110" s="8"/>
      <c r="D110" s="8"/>
      <c r="E110" s="4"/>
    </row>
    <row r="111" spans="1:6" s="19" customFormat="1" x14ac:dyDescent="0.35">
      <c r="A111" s="19" t="s">
        <v>170</v>
      </c>
      <c r="B111" s="24"/>
      <c r="C111" s="25"/>
      <c r="D111" s="25"/>
      <c r="E111" s="19" t="s">
        <v>131</v>
      </c>
    </row>
    <row r="112" spans="1:6" s="44" customFormat="1" x14ac:dyDescent="0.35">
      <c r="A112" s="44" t="s">
        <v>183</v>
      </c>
      <c r="B112" s="7">
        <f>B49*B27/1000</f>
        <v>79.2</v>
      </c>
      <c r="C112" s="63">
        <f>B112*B76</f>
        <v>6.5736000000000008</v>
      </c>
      <c r="D112" s="8"/>
      <c r="E112" s="4" t="s">
        <v>172</v>
      </c>
    </row>
    <row r="113" spans="1:6" s="44" customFormat="1" x14ac:dyDescent="0.35">
      <c r="A113" s="44" t="s">
        <v>223</v>
      </c>
      <c r="B113" s="7">
        <f>B49/10000</f>
        <v>7.2</v>
      </c>
      <c r="C113" s="63">
        <f>B113*B77</f>
        <v>6.4799999999999996E-2</v>
      </c>
      <c r="D113" s="8"/>
      <c r="E113" s="4"/>
    </row>
    <row r="114" spans="1:6" x14ac:dyDescent="0.35">
      <c r="A114" s="44" t="s">
        <v>168</v>
      </c>
      <c r="B114" s="7">
        <f>B49/10000</f>
        <v>7.2</v>
      </c>
      <c r="C114" s="63">
        <f>B114*B68</f>
        <v>0.28800000000000003</v>
      </c>
      <c r="D114" s="8"/>
      <c r="E114" s="4" t="s">
        <v>137</v>
      </c>
    </row>
    <row r="115" spans="1:6" x14ac:dyDescent="0.35">
      <c r="A115" s="44" t="s">
        <v>169</v>
      </c>
      <c r="B115" s="7">
        <f>B49/10000</f>
        <v>7.2</v>
      </c>
      <c r="C115" s="63">
        <f>B115*B70</f>
        <v>0.28800000000000003</v>
      </c>
      <c r="D115" s="8"/>
      <c r="E115" s="4" t="s">
        <v>137</v>
      </c>
      <c r="F115" s="44"/>
    </row>
    <row r="116" spans="1:6" s="16" customFormat="1" x14ac:dyDescent="0.35">
      <c r="A116" s="44" t="s">
        <v>146</v>
      </c>
      <c r="B116" s="7">
        <f>B49*B38/10000*B11</f>
        <v>36</v>
      </c>
      <c r="C116" s="63">
        <f>B116*B68</f>
        <v>1.44</v>
      </c>
      <c r="D116"/>
      <c r="E116" s="4" t="s">
        <v>147</v>
      </c>
      <c r="F116" s="44"/>
    </row>
    <row r="117" spans="1:6" s="44" customFormat="1" x14ac:dyDescent="0.35">
      <c r="B117" s="7"/>
      <c r="C117" s="49" t="s">
        <v>185</v>
      </c>
      <c r="D117" s="26">
        <f>SUM(C112:C116)/B50*B19</f>
        <v>3.6060000000000004E-5</v>
      </c>
      <c r="E117" s="4"/>
    </row>
    <row r="118" spans="1:6" s="44" customFormat="1" x14ac:dyDescent="0.35">
      <c r="B118" s="7"/>
      <c r="C118" s="50"/>
      <c r="D118"/>
      <c r="E118" s="4"/>
    </row>
    <row r="119" spans="1:6" x14ac:dyDescent="0.35">
      <c r="A119" s="44"/>
      <c r="B119" s="20"/>
      <c r="C119" s="33" t="s">
        <v>161</v>
      </c>
      <c r="D119"/>
      <c r="E119" s="44"/>
      <c r="F119" s="4"/>
    </row>
    <row r="120" spans="1:6" x14ac:dyDescent="0.35">
      <c r="A120" s="44"/>
      <c r="B120" t="s">
        <v>187</v>
      </c>
      <c r="C120" s="8">
        <f>SUM(C87:C116)</f>
        <v>1894.2096999999999</v>
      </c>
      <c r="D120"/>
      <c r="E120" s="44"/>
      <c r="F120" s="4"/>
    </row>
    <row r="121" spans="1:6" x14ac:dyDescent="0.35">
      <c r="A121" s="44"/>
      <c r="B121" s="4"/>
      <c r="C121" s="44"/>
      <c r="D121"/>
      <c r="E121" s="44"/>
      <c r="F121" s="4"/>
    </row>
    <row r="122" spans="1:6" x14ac:dyDescent="0.35">
      <c r="A122" s="44"/>
      <c r="B122" s="20" t="s">
        <v>160</v>
      </c>
      <c r="C122" s="33" t="s">
        <v>161</v>
      </c>
      <c r="D122"/>
      <c r="E122" s="44"/>
      <c r="F122" s="4"/>
    </row>
    <row r="123" spans="1:6" s="15" customFormat="1" x14ac:dyDescent="0.35">
      <c r="A123" s="44"/>
      <c r="B123" s="27" t="s">
        <v>162</v>
      </c>
      <c r="C123" s="12">
        <f>C120*B19</f>
        <v>2841.3145500000001</v>
      </c>
      <c r="D123"/>
      <c r="E123" s="44"/>
      <c r="F123" s="4"/>
    </row>
    <row r="124" spans="1:6" customFormat="1" x14ac:dyDescent="0.35">
      <c r="A124" s="44"/>
      <c r="B124" s="27" t="s">
        <v>37</v>
      </c>
      <c r="C124" s="12">
        <f>C123*B22</f>
        <v>14206.572749999999</v>
      </c>
      <c r="E124" s="44"/>
      <c r="F124" s="4"/>
    </row>
    <row r="125" spans="1:6" customFormat="1" x14ac:dyDescent="0.35">
      <c r="A125" s="44"/>
      <c r="B125" s="44"/>
      <c r="C125" s="44"/>
      <c r="E125" s="44"/>
      <c r="F125" s="44"/>
    </row>
    <row r="126" spans="1:6" s="44" customFormat="1" x14ac:dyDescent="0.35">
      <c r="B126" s="32" t="s">
        <v>219</v>
      </c>
      <c r="C126" s="34" t="s">
        <v>161</v>
      </c>
    </row>
    <row r="127" spans="1:6" s="44" customFormat="1" x14ac:dyDescent="0.35">
      <c r="B127" s="27" t="s">
        <v>220</v>
      </c>
      <c r="C127" s="12">
        <f>C124/B8</f>
        <v>142.06572749999998</v>
      </c>
    </row>
    <row r="128" spans="1:6" s="44" customFormat="1" x14ac:dyDescent="0.35"/>
    <row r="129" spans="1:6" customFormat="1" x14ac:dyDescent="0.35">
      <c r="A129" s="44"/>
      <c r="B129" s="32" t="s">
        <v>163</v>
      </c>
      <c r="C129" s="34" t="s">
        <v>161</v>
      </c>
      <c r="E129" s="48">
        <v>21916</v>
      </c>
      <c r="F129" s="4"/>
    </row>
    <row r="130" spans="1:6" x14ac:dyDescent="0.35">
      <c r="A130" s="44"/>
      <c r="B130" s="27" t="s">
        <v>164</v>
      </c>
      <c r="C130" s="12">
        <f>C124/B33</f>
        <v>7.8925404166666657E-2</v>
      </c>
      <c r="D130"/>
      <c r="E130" s="44"/>
      <c r="F130" s="4"/>
    </row>
    <row r="131" spans="1:6" x14ac:dyDescent="0.35">
      <c r="A131" s="44"/>
      <c r="B131" s="27" t="s">
        <v>165</v>
      </c>
      <c r="C131" s="12">
        <f>C124/B34</f>
        <v>0.39462702083333334</v>
      </c>
      <c r="D131"/>
      <c r="E131" s="44"/>
      <c r="F131" s="4"/>
    </row>
    <row r="132" spans="1:6" x14ac:dyDescent="0.35">
      <c r="A132" s="44"/>
      <c r="C132" s="44"/>
      <c r="D132"/>
      <c r="E132" s="44"/>
      <c r="F132" s="4"/>
    </row>
    <row r="133" spans="1:6" s="23" customFormat="1" x14ac:dyDescent="0.35">
      <c r="A133" s="23" t="s">
        <v>167</v>
      </c>
      <c r="B133" s="68"/>
      <c r="C133" s="68"/>
      <c r="D133" s="68"/>
    </row>
    <row r="134" spans="1:6" s="19" customFormat="1" x14ac:dyDescent="0.35">
      <c r="A134" s="19" t="s">
        <v>150</v>
      </c>
      <c r="B134" s="24"/>
      <c r="C134" s="25"/>
      <c r="D134" s="25"/>
      <c r="E134" s="19" t="s">
        <v>151</v>
      </c>
    </row>
    <row r="135" spans="1:6" s="19" customFormat="1" x14ac:dyDescent="0.35">
      <c r="A135" s="19" t="s">
        <v>225</v>
      </c>
      <c r="B135" s="24">
        <f>B49</f>
        <v>72000</v>
      </c>
      <c r="C135" s="25"/>
      <c r="D135" s="25"/>
    </row>
    <row r="136" spans="1:6" s="42" customFormat="1" x14ac:dyDescent="0.35">
      <c r="A136" s="44" t="s">
        <v>152</v>
      </c>
      <c r="B136" s="7">
        <f>B49/1000000</f>
        <v>7.1999999999999995E-2</v>
      </c>
      <c r="C136" s="63">
        <f>B136*B79</f>
        <v>32.04</v>
      </c>
      <c r="D136" s="8">
        <f>C136*12</f>
        <v>384.48</v>
      </c>
      <c r="E136" s="46" t="s">
        <v>193</v>
      </c>
      <c r="F136" s="44"/>
    </row>
    <row r="137" spans="1:6" s="42" customFormat="1" x14ac:dyDescent="0.35">
      <c r="A137" s="44" t="s">
        <v>153</v>
      </c>
      <c r="B137" s="29">
        <f>B49</f>
        <v>72000</v>
      </c>
      <c r="C137" s="63">
        <f>B137*B80</f>
        <v>0</v>
      </c>
      <c r="D137" s="8">
        <f>C137*12</f>
        <v>0</v>
      </c>
      <c r="E137" s="4" t="s">
        <v>154</v>
      </c>
      <c r="F137" s="4"/>
    </row>
    <row r="138" spans="1:6" s="42" customFormat="1" x14ac:dyDescent="0.35">
      <c r="A138" s="44" t="s">
        <v>155</v>
      </c>
      <c r="B138" s="29">
        <f>B49</f>
        <v>72000</v>
      </c>
      <c r="C138" s="63">
        <f>B138*B81</f>
        <v>540</v>
      </c>
      <c r="D138" s="8">
        <f>C138*12</f>
        <v>6480</v>
      </c>
      <c r="E138" s="46" t="s">
        <v>193</v>
      </c>
      <c r="F138" s="44"/>
    </row>
    <row r="139" spans="1:6" s="42" customFormat="1" x14ac:dyDescent="0.35">
      <c r="A139" s="44" t="s">
        <v>156</v>
      </c>
      <c r="B139" s="29">
        <f>B49</f>
        <v>72000</v>
      </c>
      <c r="C139" s="63">
        <f>B139*B82</f>
        <v>0</v>
      </c>
      <c r="D139" s="8">
        <f>C139*12</f>
        <v>0</v>
      </c>
      <c r="E139" s="4" t="s">
        <v>157</v>
      </c>
      <c r="F139" s="4"/>
    </row>
    <row r="140" spans="1:6" s="42" customFormat="1" x14ac:dyDescent="0.35">
      <c r="A140" s="44" t="s">
        <v>158</v>
      </c>
      <c r="B140" s="29">
        <f>B49</f>
        <v>72000</v>
      </c>
      <c r="C140" s="45" t="s">
        <v>159</v>
      </c>
      <c r="D140" s="45" t="s">
        <v>159</v>
      </c>
      <c r="E140" s="44"/>
      <c r="F140" s="4"/>
    </row>
    <row r="143" spans="1:6" s="23" customFormat="1" x14ac:dyDescent="0.35">
      <c r="A143" s="23" t="s">
        <v>250</v>
      </c>
      <c r="B143" s="68"/>
      <c r="C143" s="68"/>
      <c r="D143" s="68"/>
    </row>
    <row r="144" spans="1:6" s="64" customFormat="1" x14ac:dyDescent="0.35">
      <c r="A144" s="64" t="s">
        <v>249</v>
      </c>
      <c r="B144" s="65"/>
      <c r="C144" s="66"/>
      <c r="D144" s="66"/>
    </row>
    <row r="145" spans="1:2" x14ac:dyDescent="0.35">
      <c r="A145" s="5" t="s">
        <v>228</v>
      </c>
    </row>
    <row r="146" spans="1:2" x14ac:dyDescent="0.35">
      <c r="A146" s="5" t="s">
        <v>229</v>
      </c>
    </row>
    <row r="147" spans="1:2" s="44" customFormat="1" x14ac:dyDescent="0.35">
      <c r="A147" s="44" t="s">
        <v>239</v>
      </c>
      <c r="B147" s="3"/>
    </row>
    <row r="148" spans="1:2" s="44" customFormat="1" x14ac:dyDescent="0.35">
      <c r="A148" s="44" t="s">
        <v>240</v>
      </c>
      <c r="B148" s="3"/>
    </row>
    <row r="150" spans="1:2" s="44" customFormat="1" x14ac:dyDescent="0.35">
      <c r="A150" s="44" t="s">
        <v>237</v>
      </c>
      <c r="B150" s="62">
        <v>499</v>
      </c>
    </row>
    <row r="151" spans="1:2" x14ac:dyDescent="0.35">
      <c r="A151" s="5" t="s">
        <v>231</v>
      </c>
      <c r="B151" s="62">
        <v>0.1</v>
      </c>
    </row>
    <row r="152" spans="1:2" x14ac:dyDescent="0.35">
      <c r="A152" s="5" t="s">
        <v>230</v>
      </c>
      <c r="B152" s="62">
        <v>0.01</v>
      </c>
    </row>
    <row r="154" spans="1:2" x14ac:dyDescent="0.35">
      <c r="A154" s="5" t="s">
        <v>232</v>
      </c>
      <c r="B154" s="29">
        <f>B48*B22</f>
        <v>450000</v>
      </c>
    </row>
    <row r="155" spans="1:2" x14ac:dyDescent="0.35">
      <c r="A155" s="5" t="s">
        <v>233</v>
      </c>
      <c r="B155" s="29">
        <f>B50*B22</f>
        <v>1800000</v>
      </c>
    </row>
    <row r="157" spans="1:2" s="44" customFormat="1" x14ac:dyDescent="0.35">
      <c r="A157" s="44" t="s">
        <v>238</v>
      </c>
      <c r="B157" s="63">
        <f>B150*B8</f>
        <v>49900</v>
      </c>
    </row>
    <row r="158" spans="1:2" x14ac:dyDescent="0.35">
      <c r="A158" s="5" t="s">
        <v>234</v>
      </c>
      <c r="B158" s="63">
        <f>B154*B151</f>
        <v>45000</v>
      </c>
    </row>
    <row r="159" spans="1:2" x14ac:dyDescent="0.35">
      <c r="A159" s="5" t="s">
        <v>235</v>
      </c>
      <c r="B159" s="63">
        <f>B155*B152</f>
        <v>18000</v>
      </c>
    </row>
    <row r="160" spans="1:2" s="44" customFormat="1" x14ac:dyDescent="0.35">
      <c r="B160" s="63"/>
    </row>
    <row r="161" spans="1:4" x14ac:dyDescent="0.35">
      <c r="A161" s="10" t="s">
        <v>236</v>
      </c>
      <c r="B161" s="12">
        <f>SUM(B157:B159)</f>
        <v>112900</v>
      </c>
    </row>
    <row r="162" spans="1:4" x14ac:dyDescent="0.35">
      <c r="A162" s="5" t="s">
        <v>241</v>
      </c>
      <c r="B162" s="8">
        <f>C124*-1</f>
        <v>-14206.572749999999</v>
      </c>
    </row>
    <row r="164" spans="1:4" x14ac:dyDescent="0.35">
      <c r="A164" s="10" t="s">
        <v>248</v>
      </c>
      <c r="B164" s="12">
        <f>B161+B162</f>
        <v>98693.427250000008</v>
      </c>
    </row>
    <row r="165" spans="1:4" s="69" customFormat="1" x14ac:dyDescent="0.35">
      <c r="A165" s="69" t="s">
        <v>251</v>
      </c>
      <c r="B165" s="70">
        <f>B164/B161</f>
        <v>0.87416676040744024</v>
      </c>
    </row>
    <row r="167" spans="1:4" s="64" customFormat="1" x14ac:dyDescent="0.35">
      <c r="A167" s="64" t="s">
        <v>242</v>
      </c>
      <c r="B167" s="65"/>
      <c r="C167" s="66"/>
      <c r="D167" s="66"/>
    </row>
    <row r="168" spans="1:4" s="44" customFormat="1" x14ac:dyDescent="0.35">
      <c r="A168" s="44" t="s">
        <v>243</v>
      </c>
      <c r="B168" s="3"/>
    </row>
    <row r="169" spans="1:4" s="44" customFormat="1" x14ac:dyDescent="0.35">
      <c r="B169" s="3"/>
    </row>
    <row r="170" spans="1:4" s="44" customFormat="1" x14ac:dyDescent="0.35">
      <c r="A170" s="44" t="s">
        <v>237</v>
      </c>
      <c r="B170" s="62">
        <v>499</v>
      </c>
    </row>
    <row r="171" spans="1:4" s="44" customFormat="1" x14ac:dyDescent="0.35">
      <c r="A171" s="44" t="s">
        <v>244</v>
      </c>
      <c r="B171" s="62">
        <v>1</v>
      </c>
    </row>
    <row r="172" spans="1:4" s="44" customFormat="1" x14ac:dyDescent="0.35">
      <c r="B172" s="3"/>
    </row>
    <row r="173" spans="1:4" s="44" customFormat="1" x14ac:dyDescent="0.35">
      <c r="A173" s="44" t="s">
        <v>52</v>
      </c>
      <c r="B173" s="29">
        <f>B8</f>
        <v>100</v>
      </c>
    </row>
    <row r="174" spans="1:4" s="44" customFormat="1" x14ac:dyDescent="0.35">
      <c r="A174" s="44" t="s">
        <v>245</v>
      </c>
      <c r="B174" s="29">
        <f>B33</f>
        <v>180000</v>
      </c>
    </row>
    <row r="175" spans="1:4" s="44" customFormat="1" x14ac:dyDescent="0.35">
      <c r="B175" s="3"/>
    </row>
    <row r="176" spans="1:4" s="44" customFormat="1" x14ac:dyDescent="0.35">
      <c r="A176" s="44" t="s">
        <v>238</v>
      </c>
      <c r="B176" s="63">
        <f>B170*B173</f>
        <v>49900</v>
      </c>
    </row>
    <row r="177" spans="1:2" s="44" customFormat="1" x14ac:dyDescent="0.35">
      <c r="A177" s="44" t="s">
        <v>246</v>
      </c>
      <c r="B177" s="63">
        <f>B174*B171</f>
        <v>180000</v>
      </c>
    </row>
    <row r="178" spans="1:2" s="44" customFormat="1" x14ac:dyDescent="0.35">
      <c r="B178" s="63"/>
    </row>
    <row r="179" spans="1:2" s="44" customFormat="1" x14ac:dyDescent="0.35">
      <c r="A179" s="10" t="s">
        <v>236</v>
      </c>
      <c r="B179" s="12">
        <f>SUM(B176:B177)</f>
        <v>229900</v>
      </c>
    </row>
    <row r="180" spans="1:2" s="44" customFormat="1" x14ac:dyDescent="0.35">
      <c r="A180" s="44" t="s">
        <v>241</v>
      </c>
      <c r="B180" s="8">
        <f>C124*-1</f>
        <v>-14206.572749999999</v>
      </c>
    </row>
    <row r="181" spans="1:2" s="44" customFormat="1" x14ac:dyDescent="0.35">
      <c r="B181" s="3"/>
    </row>
    <row r="182" spans="1:2" s="44" customFormat="1" x14ac:dyDescent="0.35">
      <c r="A182" s="10" t="s">
        <v>247</v>
      </c>
      <c r="B182" s="12">
        <f>B179+B180</f>
        <v>215693.42725000001</v>
      </c>
    </row>
    <row r="183" spans="1:2" x14ac:dyDescent="0.35">
      <c r="A183" s="69" t="s">
        <v>251</v>
      </c>
      <c r="B183" s="70">
        <f>B182/B179</f>
        <v>0.93820542518486305</v>
      </c>
    </row>
  </sheetData>
  <mergeCells count="5">
    <mergeCell ref="C3:E3"/>
    <mergeCell ref="A2:E2"/>
    <mergeCell ref="A4:E4"/>
    <mergeCell ref="B133:D133"/>
    <mergeCell ref="B143:D143"/>
  </mergeCells>
  <hyperlinks>
    <hyperlink ref="F71" r:id="rId1" xr:uid="{070C1AE1-61C4-41C7-952D-395D60F364F3}"/>
    <hyperlink ref="F63" r:id="rId2" xr:uid="{A7789B51-292A-423B-A136-E61BBC8D4178}"/>
    <hyperlink ref="F64" r:id="rId3" xr:uid="{3488B094-794B-4363-8C93-6BEBE05B171A}"/>
    <hyperlink ref="F66" r:id="rId4" xr:uid="{262312A5-A369-42EF-B43F-DC29E2CD9443}"/>
    <hyperlink ref="F72" r:id="rId5" xr:uid="{24EB796A-B1B0-4A58-A686-9E5829B5CD92}"/>
    <hyperlink ref="F73" r:id="rId6" xr:uid="{2B638A8C-E8AB-47F3-A4E3-CE29E6671A4C}"/>
  </hyperlinks>
  <pageMargins left="0.7" right="0.7" top="0.75" bottom="0.75" header="0.3" footer="0.3"/>
  <pageSetup orientation="portrait" r:id="rId7"/>
  <ignoredErrors>
    <ignoredError sqref="C106 B103 C89"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4A6E9F6D08174BAB84A3F80A4BD878" ma:contentTypeVersion="0" ma:contentTypeDescription="Create a new document." ma:contentTypeScope="" ma:versionID="688a4136190a21f6076d1cc6f48983d4">
  <xsd:schema xmlns:xsd="http://www.w3.org/2001/XMLSchema" xmlns:xs="http://www.w3.org/2001/XMLSchema" xmlns:p="http://schemas.microsoft.com/office/2006/metadata/properties" targetNamespace="http://schemas.microsoft.com/office/2006/metadata/properties" ma:root="true" ma:fieldsID="d413257cd9829394d17656a545d5fa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29C3C8-3AD6-4F9E-A9D2-FCEE5419C53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863F055-0C6C-46F5-B410-F130EE9855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F1F77A1B-7807-4691-848E-30D7E297D7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Azure Cost Calculator (2021)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 Ralston</dc:creator>
  <cp:keywords/>
  <dc:description/>
  <cp:lastModifiedBy>Erik Ralston</cp:lastModifiedBy>
  <cp:revision/>
  <dcterms:created xsi:type="dcterms:W3CDTF">2015-06-05T18:17:20Z</dcterms:created>
  <dcterms:modified xsi:type="dcterms:W3CDTF">2022-03-01T15:20:55Z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0x0101000C4A6E9F6D08174BAB84A3F80A4BD878</vt:lpwstr>
  </property>
</Properties>
</file>